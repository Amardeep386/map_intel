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enil\Downloads\"/>
    </mc:Choice>
  </mc:AlternateContent>
  <xr:revisionPtr revIDLastSave="0" documentId="13_ncr:1_{87435587-A3E5-4E51-984D-70B9DC992ECD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LG Product Summary" sheetId="2" r:id="rId1"/>
    <sheet name="Apple Product Summary" sheetId="3" r:id="rId2"/>
    <sheet name="Samsung Product Summary" sheetId="4" r:id="rId3"/>
    <sheet name="LG Sources" sheetId="5" r:id="rId4"/>
    <sheet name="Apple Sources" sheetId="6" r:id="rId5"/>
    <sheet name="Samsung Sources" sheetId="7" r:id="rId6"/>
  </sheets>
  <definedNames>
    <definedName name="_xlnm._FilterDatabase" localSheetId="4" hidden="1">'Apple Sources'!$A$1:$Q$1</definedName>
    <definedName name="_xlnm._FilterDatabase" localSheetId="3" hidden="1">'LG Sources'!$A$1:$Q$1</definedName>
    <definedName name="_xlnm._FilterDatabase" localSheetId="5" hidden="1">'Samsung Sources'!$A$1:$R$1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17" i="7" l="1"/>
  <c r="R16" i="7"/>
  <c r="R10" i="7"/>
  <c r="R9" i="7"/>
  <c r="R8" i="7"/>
  <c r="R7" i="7"/>
  <c r="R12" i="7"/>
  <c r="R20" i="7"/>
  <c r="R6" i="7"/>
  <c r="R21" i="7"/>
  <c r="R19" i="7"/>
  <c r="R11" i="7"/>
  <c r="R18" i="7"/>
  <c r="R5" i="7"/>
  <c r="R3" i="7"/>
  <c r="R4" i="7"/>
  <c r="R15" i="7"/>
  <c r="R14" i="7"/>
  <c r="R13" i="7"/>
  <c r="R2" i="7"/>
  <c r="Q6" i="6"/>
  <c r="Q5" i="6"/>
  <c r="Q20" i="6"/>
  <c r="Q19" i="6"/>
  <c r="Q18" i="6"/>
  <c r="Q17" i="6"/>
  <c r="Q16" i="6"/>
  <c r="Q11" i="6"/>
  <c r="Q14" i="6"/>
  <c r="Q9" i="6"/>
  <c r="Q13" i="6"/>
  <c r="Q15" i="6"/>
  <c r="Q12" i="6"/>
  <c r="Q8" i="6"/>
  <c r="Q7" i="6"/>
  <c r="Q4" i="6"/>
  <c r="Q3" i="6"/>
  <c r="Q2" i="6"/>
  <c r="Q10" i="6"/>
  <c r="Q9" i="5"/>
  <c r="Q8" i="5"/>
  <c r="Q16" i="5"/>
  <c r="Q15" i="5"/>
  <c r="Q14" i="5"/>
  <c r="Q7" i="5"/>
  <c r="Q13" i="5"/>
  <c r="Q6" i="5"/>
  <c r="Q5" i="5"/>
  <c r="Q12" i="5"/>
  <c r="Q11" i="5"/>
  <c r="Q4" i="5"/>
  <c r="Q3" i="5"/>
  <c r="Q2" i="5"/>
  <c r="Q10" i="5"/>
</calcChain>
</file>

<file path=xl/sharedStrings.xml><?xml version="1.0" encoding="utf-8"?>
<sst xmlns="http://schemas.openxmlformats.org/spreadsheetml/2006/main" count="2244" uniqueCount="846">
  <si>
    <t>LG</t>
  </si>
  <si>
    <t>Apple</t>
  </si>
  <si>
    <t>Samsung</t>
  </si>
  <si>
    <t>Product Name</t>
  </si>
  <si>
    <t>SKU</t>
  </si>
  <si>
    <t>MAP Price (USD)</t>
  </si>
  <si>
    <t>Brand</t>
  </si>
  <si>
    <t>Category</t>
  </si>
  <si>
    <t>Model Family</t>
  </si>
  <si>
    <t>Configuration</t>
  </si>
  <si>
    <t>Colour</t>
  </si>
  <si>
    <t>Internal ID</t>
  </si>
  <si>
    <t>Status</t>
  </si>
  <si>
    <t>Price Verified On</t>
  </si>
  <si>
    <t>Verification Source</t>
  </si>
  <si>
    <t>LG gram 2-in-1 14 - IPS touch, Core Ultra 5 125H, 16GB, 512GB (Black)</t>
  </si>
  <si>
    <t>14T90S-G.AAB4U1</t>
  </si>
  <si>
    <t>gram 2-in-1</t>
  </si>
  <si>
    <t>gram 2-in-1 14 (2024)</t>
  </si>
  <si>
    <t>14" WUXGA IPS touch, Core Ultra 5 125H, 16GB, 512GB</t>
  </si>
  <si>
    <t>Black</t>
  </si>
  <si>
    <t>LG-001</t>
  </si>
  <si>
    <t>Active</t>
  </si>
  <si>
    <t>2026-09-28</t>
  </si>
  <si>
    <t>https://www.lg.com/us/laptops/lg-14t90s-g.aab4u1-gram-laptop</t>
  </si>
  <si>
    <t>LG gram 14 - IPS, Core Ultra 5 Series 2, 16GB, 512GB (Black)</t>
  </si>
  <si>
    <t>14Z90T-G.AAB2U1</t>
  </si>
  <si>
    <t>gram</t>
  </si>
  <si>
    <t>gram 14 (2025)</t>
  </si>
  <si>
    <t>14" IPS, Core Ultra 5 (Series 2), 16GB, 512GB</t>
  </si>
  <si>
    <t>LG-002</t>
  </si>
  <si>
    <t>https://www.lg.com/us/laptops/lg-14z90t-g.aab2u1-gram-laptop</t>
  </si>
  <si>
    <t>LG gram 14 - IPS, Core Ultra 7 255H, 32GB, 1TB (Black)</t>
  </si>
  <si>
    <t>14Z90T-G.ADB6U1</t>
  </si>
  <si>
    <t>14" IPS, Core Ultra 7 255H, 32GB, 1TB</t>
  </si>
  <si>
    <t>LG-003</t>
  </si>
  <si>
    <t>https://www.lg.com/us/laptops/lg-14z90t-g.adb6u1-gram-laptop</t>
  </si>
  <si>
    <t>LG gram 14 Copilot+ PC - IPS, Core Ultra 5, 32GB, 512GB (White)</t>
  </si>
  <si>
    <t>14Z90U-G.AS63U1</t>
  </si>
  <si>
    <t>gram 14 Copilot+ PC (2026)</t>
  </si>
  <si>
    <t>14" WUXGA IPS, Core Ultra 5, 32GB, 512GB</t>
  </si>
  <si>
    <t>White</t>
  </si>
  <si>
    <t>LG-004</t>
  </si>
  <si>
    <t>https://www.lg.com/us/laptops/lg-14z90u-g.as63u1-gram-laptop</t>
  </si>
  <si>
    <t>LG gram 14 Copilot+ PC - IPS, Core Ultra 7, 32GB, 2TB (White)</t>
  </si>
  <si>
    <t>14Z90U-G.AU82U1</t>
  </si>
  <si>
    <t>14" WUXGA IPS, Core Ultra 7, 32GB, 2TB</t>
  </si>
  <si>
    <t>LG-005</t>
  </si>
  <si>
    <t>https://www.lg.com/us/laptops/lg-14z90u-g.au82u1-gram-laptop</t>
  </si>
  <si>
    <t>LG gram 14 Copilot+ PC - IPS, Core Ultra 7, 32GB, 512GB (Black)</t>
  </si>
  <si>
    <t>14Z90U-G.AU85U1</t>
  </si>
  <si>
    <t>14" WUXGA IPS, Core Ultra 7, 32GB, 512GB</t>
  </si>
  <si>
    <t>LG-006</t>
  </si>
  <si>
    <t>https://www.lg.com/us/laptops/lg-14z90u-g.au85u1-gram-laptop</t>
  </si>
  <si>
    <t>LG gram 14 Copilot+ PC - IPS, Core Ultra 7, 32GB, 1TB (Black)</t>
  </si>
  <si>
    <t>14Z90U-G.AU87U1</t>
  </si>
  <si>
    <t>14" WUXGA IPS, Core Ultra 7, 32GB, 1TB</t>
  </si>
  <si>
    <t>LG-007</t>
  </si>
  <si>
    <t>https://www.lg.com/us/laptops/lg-14z90u-g.au87u1-gram-laptop</t>
  </si>
  <si>
    <t>LG gram 14 Copilot+ PC, AMD - IPS, Ryzen AI 5, 32GB, 1TB (Black)</t>
  </si>
  <si>
    <t>14Z95U-G.AS67U1</t>
  </si>
  <si>
    <t>gram 14 Copilot+ PC, AMD (2026)</t>
  </si>
  <si>
    <t>14" WUXGA IPS, Ryzen AI 5, 32GB, 1TB</t>
  </si>
  <si>
    <t>LG-008</t>
  </si>
  <si>
    <t>https://www.lg.com/us/laptops/lg-14z95u-g.as67u1-gram-laptop</t>
  </si>
  <si>
    <t>LG gram 14 Copilot+ PC, AMD - IPS, Ryzen AI 7, 16GB, 1TB (Silver)</t>
  </si>
  <si>
    <t>14Z95U-G.AU76U1</t>
  </si>
  <si>
    <t>14" WUXGA IPS, Ryzen AI 7, 16GB, 1TB</t>
  </si>
  <si>
    <t>Silver</t>
  </si>
  <si>
    <t>LG-009</t>
  </si>
  <si>
    <t>https://www.lg.com/us/laptops/lg-14z95u-g.au76u1-gram-laptop</t>
  </si>
  <si>
    <t>LG gram 14 Copilot+ PC, AMD - IPS, Ryzen AI 7, 32GB, 1TB (Silver)</t>
  </si>
  <si>
    <t>14Z95U-G.AU86U1</t>
  </si>
  <si>
    <t>14" WUXGA IPS, Ryzen AI 7, 32GB, 1TB</t>
  </si>
  <si>
    <t>LG-010</t>
  </si>
  <si>
    <t>https://www.lg.com/us/laptops/lg-14z95u-g.au86u1-gram-laptop</t>
  </si>
  <si>
    <t>LG gram Book 15 - IPS, Core i5-1334U, 16GB, 512GB (Titan Silver)</t>
  </si>
  <si>
    <t>15U50T-G.AAS3U1</t>
  </si>
  <si>
    <t>gram Book</t>
  </si>
  <si>
    <t>gram Book 15 (2025)</t>
  </si>
  <si>
    <t>15.6" FHD IPS, Core i5-1334U, 16GB, 512GB</t>
  </si>
  <si>
    <t>Titan Silver</t>
  </si>
  <si>
    <t>LG-011</t>
  </si>
  <si>
    <t>https://www.lg.com/us/laptops/lg-15u50t-g.aas3u1-gram-laptop</t>
  </si>
  <si>
    <t>LG gram Book 15 - IPS touch, Core Ultra 5, 32GB, 512GB (Black)</t>
  </si>
  <si>
    <t>15U50U-H.AA56U1</t>
  </si>
  <si>
    <t>gram Book 15 (2026)</t>
  </si>
  <si>
    <t>15.6" FHD IPS touch, Core Ultra 5, 32GB, 512GB</t>
  </si>
  <si>
    <t>LG-012</t>
  </si>
  <si>
    <t>https://www.lg.com/us/laptops/lg-15u50u-h.aa56u1-gram-laptop</t>
  </si>
  <si>
    <t>LG gram Book 15 - IPS touch, Core Ultra 5, 16GB, 1TB (Black)</t>
  </si>
  <si>
    <t>15U50U-H.AA57U1</t>
  </si>
  <si>
    <t>15.6" FHD IPS touch, Core Ultra 5, 16GB, 1TB</t>
  </si>
  <si>
    <t>LG-013</t>
  </si>
  <si>
    <t>https://www.lg.com/us/laptops/lg-15u50u-h.aa57u1-gram-laptop</t>
  </si>
  <si>
    <t>LG gram Book 15 - IPS touch, Core Ultra 5, 8GB, 512GB (Black)</t>
  </si>
  <si>
    <t>15U50U-H.AR55U1</t>
  </si>
  <si>
    <t>15.6" FHD IPS touch, Core Ultra 5, 8GB, 512GB</t>
  </si>
  <si>
    <t>LG-014</t>
  </si>
  <si>
    <t>https://www.lg.com/us/laptops/lg-15u50u-h.ar55u1-gram-laptop</t>
  </si>
  <si>
    <t>LG gram 15 - IPS touch, Core Ultra 7 155H, 16GB, 512GB (Black)</t>
  </si>
  <si>
    <t>15Z90S-H.AAB5U1</t>
  </si>
  <si>
    <t>gram 15 (2024)</t>
  </si>
  <si>
    <t>15" IPS touch, Core Ultra 7 155H, 16GB, 512GB</t>
  </si>
  <si>
    <t>LG-015</t>
  </si>
  <si>
    <t>https://www.lg.com/us/laptops/lg-15z90s-h.aab5u1-gram-laptop</t>
  </si>
  <si>
    <t>LG gram 15 Copilot+ PC, AMD - IPS touch, Ryzen AI 7, 32GB, 1TB (Black)</t>
  </si>
  <si>
    <t>15Z95U-H.AU87U1</t>
  </si>
  <si>
    <t>gram 15 Copilot+ PC, AMD (2026)</t>
  </si>
  <si>
    <t>15.6" IPS touch, Ryzen AI 7, 32GB, 1TB</t>
  </si>
  <si>
    <t>LG-016</t>
  </si>
  <si>
    <t>https://www.lg.com/us/laptops/lg-15z95u-h.au87u1-gram-laptop</t>
  </si>
  <si>
    <t>LG gram Pro 2-in-1 16 - IPS touch, Core Ultra 7 155H, 16GB, 1TB (Black)</t>
  </si>
  <si>
    <t>16T90SP-G.AAB6U1</t>
  </si>
  <si>
    <t>gram Pro 2-in-1</t>
  </si>
  <si>
    <t>gram Pro 2-in-1 16 (2024)</t>
  </si>
  <si>
    <t>16" WQXGA IPS touch, Core Ultra 7 155H, 16GB, 1TB</t>
  </si>
  <si>
    <t>LG-017</t>
  </si>
  <si>
    <t>https://www.lg.com/us/laptops/lg-16t90sp-g.aab6u1-gram-laptop</t>
  </si>
  <si>
    <t>LG gram Pro 2-in-1 16 - OLED touch, Core Ultra 7 155H, 32GB, 2TB (Black)</t>
  </si>
  <si>
    <t>16T90SP-K.ADB9U1</t>
  </si>
  <si>
    <t>16" OLED touch, Core Ultra 7 155H, 32GB, 2TB</t>
  </si>
  <si>
    <t>LG-018</t>
  </si>
  <si>
    <t>https://www.lg.com/us/laptops/lg-16t90sp-k.adb9u1-gram-laptop</t>
  </si>
  <si>
    <t>LG gram Pro 2-in-1 16 - OLED touch, Core Ultra 7, 16GB, 1TB (Black)</t>
  </si>
  <si>
    <t>16T95TP-K.AA77U1</t>
  </si>
  <si>
    <t>gram Pro 2-in-1 16 (2026)</t>
  </si>
  <si>
    <t>16" OLED touch, Core Ultra 7, 16GB, 1TB</t>
  </si>
  <si>
    <t>LG-019</t>
  </si>
  <si>
    <t>https://www.lg.com/us/laptops/lg-16t95tp-k.aa77u1-gram-laptop</t>
  </si>
  <si>
    <t>LG gram Pro 2-in-1 16 - OLED touch, Core Ultra 7, 32GB, 1TB (Black)</t>
  </si>
  <si>
    <t>16T95TP-K.AD87U1</t>
  </si>
  <si>
    <t>16" OLED touch, Core Ultra 7, 32GB, 1TB</t>
  </si>
  <si>
    <t>LG-020</t>
  </si>
  <si>
    <t>https://www.lg.com/us/laptops/lg-16t95tp-k.ad87u1-gram-laptop</t>
  </si>
  <si>
    <t>LG gram Pro 2-in-1 16 - OLED touch, Core Ultra 7, 32GB, 2TB (Black)</t>
  </si>
  <si>
    <t>16T95TP-K.AD89U1</t>
  </si>
  <si>
    <t>16" OLED touch, Core Ultra 7, 32GB, 2TB</t>
  </si>
  <si>
    <t>LG-021</t>
  </si>
  <si>
    <t>https://www.lg.com/us/laptops/lg-16t95tp-k.ad89u1-gram-laptop</t>
  </si>
  <si>
    <t>LG gram Pro 2-in-1 16 - OLED touch, Core Ultra 7, 32GB, 1TB (Black) [specs to confirm]</t>
  </si>
  <si>
    <t>16T95TP-K.AU87U1</t>
  </si>
  <si>
    <t>16" OLED touch, Core Ultra 7, 32GB, 1TB (inferred from model code - confirm)</t>
  </si>
  <si>
    <t>LG-022</t>
  </si>
  <si>
    <t>Check listing</t>
  </si>
  <si>
    <t>https://www.lg.com/us/lg-gram-pro-2-in-1-laptops</t>
  </si>
  <si>
    <t>LG gram Book 16 - IPS touch 48-120Hz, Ryzen AI 7, 16GB, 1TB (Black)</t>
  </si>
  <si>
    <t>16U55U-H.AU77U3</t>
  </si>
  <si>
    <t>gram Book 16 (2026)</t>
  </si>
  <si>
    <t>16" IPS touch 48-120Hz, Ryzen AI 7, 16GB, 1TB</t>
  </si>
  <si>
    <t>LG-023</t>
  </si>
  <si>
    <t>https://www.lg.com/us/laptops/lg-16u55u-h.au77u3-gram-laptop</t>
  </si>
  <si>
    <t>LG gram Book 16 - IPS touch 48-120Hz, Ryzen AI 7, 32GB, 1TB (Black)</t>
  </si>
  <si>
    <t>16U55U-H.AU87U1</t>
  </si>
  <si>
    <t>16" IPS touch 48-120Hz, Ryzen AI 7, 32GB, 1TB</t>
  </si>
  <si>
    <t>LG-024</t>
  </si>
  <si>
    <t>https://www.lg.com/us/laptops/lg-16u55u-h.au87u1-gram-laptop</t>
  </si>
  <si>
    <t>LG gram Pro 16 - OLED, Core Ultra 7 155H, 32GB, 2TB, RTX 3050 (Black)</t>
  </si>
  <si>
    <t>16Z90SP-A.ADB9U1</t>
  </si>
  <si>
    <t>gram Pro</t>
  </si>
  <si>
    <t>gram Pro 16 (2024)</t>
  </si>
  <si>
    <t>16" OLED, Core Ultra 7 155H, 32GB, 2TB, RTX 3050</t>
  </si>
  <si>
    <t>LG-025</t>
  </si>
  <si>
    <t>https://www.lg.com/us/laptops/lg-16z90sp-a.adb9u1-gram-laptop</t>
  </si>
  <si>
    <t>LG gram 16 - IPS, Core Ultra 7 Series 2, 32GB, 1TB (Black)</t>
  </si>
  <si>
    <t>16Z90T-G.ADB6U1</t>
  </si>
  <si>
    <t>gram 16 (2025)</t>
  </si>
  <si>
    <t>16" IPS, Core Ultra 7 (Series 2), 32GB, 1TB</t>
  </si>
  <si>
    <t>LG-026</t>
  </si>
  <si>
    <t>https://www.lg.com/us/laptops/lg-16z90t-g.adb6u1-gram-laptop</t>
  </si>
  <si>
    <t>LG gram 16 Copilot+ PC - IPS touch, Core Ultra 7 Series 2, 16GB, 1TB (Black)</t>
  </si>
  <si>
    <t>16Z90TL-H.AUB4U1</t>
  </si>
  <si>
    <t>gram 16 Copilot+ PC (2025)</t>
  </si>
  <si>
    <t>16" IPS touch, Core Ultra 7 (Series 2), 16GB, 1TB</t>
  </si>
  <si>
    <t>LG-027</t>
  </si>
  <si>
    <t>https://www.lg.com/us/laptops/lg-16z90tl-h.aub4u1-gram-laptop</t>
  </si>
  <si>
    <t>LG gram 16 Copilot+ PC - IPS touch, Core Ultra 9 Series 2, 32GB, 2TB (Black)</t>
  </si>
  <si>
    <t>16Z90TL-H.AUB9U1</t>
  </si>
  <si>
    <t>16" IPS touch, Core Ultra 9 (Series 2), 32GB, 2TB</t>
  </si>
  <si>
    <t>LG-028</t>
  </si>
  <si>
    <t>https://www.lg.com/us/laptops/lg-16z90tl-h.aub9u1-gram-laptop</t>
  </si>
  <si>
    <t>LG gram Pro 16 - IPS 144Hz, Core Ultra 7 Series 2, 16GB, 1TB (Metal Gray)</t>
  </si>
  <si>
    <t>16Z90TS-G.AUG4U1</t>
  </si>
  <si>
    <t>gram Pro 16 (2025)</t>
  </si>
  <si>
    <t>16" IPS 144Hz, Core Ultra 7 (Series 2), 16GB, 1TB</t>
  </si>
  <si>
    <t>Metal Gray</t>
  </si>
  <si>
    <t>LG-029</t>
  </si>
  <si>
    <t>https://www.lg.com/us/laptops/lg-16z90ts-g.aug4u1-gram-laptop</t>
  </si>
  <si>
    <t>LG gram Pro 16 - IPS, Core Ultra 9 Series 2, 32GB, 2TB (Metal Gray)</t>
  </si>
  <si>
    <t>16Z90TS-G.AUG9U1</t>
  </si>
  <si>
    <t>16" IPS, Core Ultra 9 (Series 2), 32GB, 2TB</t>
  </si>
  <si>
    <t>LG-030</t>
  </si>
  <si>
    <t>https://www.lg.com/us/laptops/lg-16z90ts-g.aug9u1-gram-laptop</t>
  </si>
  <si>
    <t>LG gram Pro 16 Copilot+ PC - IPS touch, Core Ultra 7, 32GB, 1TB (Black)</t>
  </si>
  <si>
    <t>16Z90U-H.AU87U1</t>
  </si>
  <si>
    <t>gram Pro 16 Copilot+ PC (2026)</t>
  </si>
  <si>
    <t>16" IPS touch, Core Ultra 7, 32GB, 1TB</t>
  </si>
  <si>
    <t>LG-031</t>
  </si>
  <si>
    <t>https://www.lg.com/us/laptops/lg-16z90u-h.au87u1-gram-laptop</t>
  </si>
  <si>
    <t>LG gram 17 - IPS, Core i5-1334U, 16GB, 512GB (Black)</t>
  </si>
  <si>
    <t>17Z90RU-G.AAB2U1</t>
  </si>
  <si>
    <t>gram 17 (2023)</t>
  </si>
  <si>
    <t>17" WQXGA IPS, Core i5-1334U, 16GB, 512GB</t>
  </si>
  <si>
    <t>LG-032</t>
  </si>
  <si>
    <t>https://www.lg.com/us/laptops/lg-17z90ru-g.aab2u1-gram-laptop</t>
  </si>
  <si>
    <t>LG gram 17 - IPS, Core Ultra 7 155H, 16GB, 1TB (Black)</t>
  </si>
  <si>
    <t>17Z90S-G.AAB6U1</t>
  </si>
  <si>
    <t>gram 17 (2024)</t>
  </si>
  <si>
    <t>17" WQXGA IPS, Core Ultra 7 155H, 16GB, 1TB</t>
  </si>
  <si>
    <t>LG-033</t>
  </si>
  <si>
    <t>https://www.lg.com/us/laptops/lg-17z90s-g.aab6u1-gram-laptop</t>
  </si>
  <si>
    <t>LG gram 17 - IPS touch, Core Ultra 7 155H, 16GB, 1TB (Black)</t>
  </si>
  <si>
    <t>17Z90S-H.AAB6U1</t>
  </si>
  <si>
    <t>17" WQXGA IPS touch, Core Ultra 7 155H, 16GB, 1TB</t>
  </si>
  <si>
    <t>LG-034</t>
  </si>
  <si>
    <t>https://www.lg.com/us/laptops/lg-17z90s-h.aab6u1-gram-laptop</t>
  </si>
  <si>
    <t>iPhone 18 Pro Max 256GB Black (Unlocked)</t>
  </si>
  <si>
    <t>MJW44LL/A</t>
  </si>
  <si>
    <t>iPhone</t>
  </si>
  <si>
    <t>iPhone 18 Pro Max</t>
  </si>
  <si>
    <t>256GB</t>
  </si>
  <si>
    <t>APL-001</t>
  </si>
  <si>
    <t>https://everymac.com/systems/apple/iphone/specs/apple-iphone-18-pro-max-united-states-a3473-specs.html</t>
  </si>
  <si>
    <t>iPhone 18 Pro Max 256GB Burgundy (Unlocked)</t>
  </si>
  <si>
    <t>MJW64LL/A</t>
  </si>
  <si>
    <t>Burgundy</t>
  </si>
  <si>
    <t>APL-002</t>
  </si>
  <si>
    <t>iPhone 18 Pro Max 512GB Silver (Unlocked)</t>
  </si>
  <si>
    <t>MJW94LL/A</t>
  </si>
  <si>
    <t>512GB</t>
  </si>
  <si>
    <t>APL-003</t>
  </si>
  <si>
    <t>iPhone 18 Pro Max 1TB Glacier (Unlocked)</t>
  </si>
  <si>
    <t>MJWG4LL/A</t>
  </si>
  <si>
    <t>1TB</t>
  </si>
  <si>
    <t>Glacier</t>
  </si>
  <si>
    <t>APL-004</t>
  </si>
  <si>
    <t>iPhone 18 Pro Max 2TB Black (Unlocked)</t>
  </si>
  <si>
    <t>MJWH4LL/A</t>
  </si>
  <si>
    <t>2TB</t>
  </si>
  <si>
    <t>APL-005</t>
  </si>
  <si>
    <t>iPhone Air 256GB Space Black (Unlocked)</t>
  </si>
  <si>
    <t>MG184LL/A</t>
  </si>
  <si>
    <t>iPhone Air</t>
  </si>
  <si>
    <t>Space Black</t>
  </si>
  <si>
    <t>APL-006</t>
  </si>
  <si>
    <t>https://everymac.com/systems/apple/iphone/specs/apple-iphone-air-united-states-canada-mexico-a3260-2025-specs.html</t>
  </si>
  <si>
    <t>iPhone Air 512GB Sky Blue (Unlocked)</t>
  </si>
  <si>
    <t>MG1J4LL/A</t>
  </si>
  <si>
    <t>Sky Blue</t>
  </si>
  <si>
    <t>APL-007</t>
  </si>
  <si>
    <t>iPhone Air 1TB Cloud White (Unlocked)</t>
  </si>
  <si>
    <t>MG1N4LL/A</t>
  </si>
  <si>
    <t>Cloud White</t>
  </si>
  <si>
    <t>APL-008</t>
  </si>
  <si>
    <t>iPhone 17 256GB Black (Unlocked)</t>
  </si>
  <si>
    <t>MG464LL/A</t>
  </si>
  <si>
    <t>iPhone 17</t>
  </si>
  <si>
    <t>APL-009</t>
  </si>
  <si>
    <t>https://everymac.com/systems/apple/iphone/specs/apple-iphone-17-united-states-a3258-specs.html</t>
  </si>
  <si>
    <t>iPhone 17 256GB Lavender (Unlocked)</t>
  </si>
  <si>
    <t>MG494LL/A</t>
  </si>
  <si>
    <t>Lavender</t>
  </si>
  <si>
    <t>APL-010</t>
  </si>
  <si>
    <t>iPhone 17 512GB Sage (Unlocked)</t>
  </si>
  <si>
    <t>MG4Q4LL/A</t>
  </si>
  <si>
    <t>Sage</t>
  </si>
  <si>
    <t>APL-011</t>
  </si>
  <si>
    <t>iPhone 17e 256GB White (Unlocked)</t>
  </si>
  <si>
    <t>MHRP4LL/A</t>
  </si>
  <si>
    <t>iPhone 17e</t>
  </si>
  <si>
    <t>APL-012</t>
  </si>
  <si>
    <t>https://everymac.com/systems/apple/iphone/specs/apple-iphone-17e-united-states-canada-mexico-japan-a3575-specs.html</t>
  </si>
  <si>
    <t>iPhone 17e 512GB Black (Unlocked)</t>
  </si>
  <si>
    <t>MHRR4LL/A</t>
  </si>
  <si>
    <t>APL-013</t>
  </si>
  <si>
    <t>MacBook Neo 13" A18 Pro 8GB/256GB Silver</t>
  </si>
  <si>
    <t>MHFA4LL/A</t>
  </si>
  <si>
    <t>Mac</t>
  </si>
  <si>
    <t>MacBook Neo</t>
  </si>
  <si>
    <t>A18 Pro, 8GB, 256GB</t>
  </si>
  <si>
    <t>APL-014</t>
  </si>
  <si>
    <t>https://everymac.com/systems/apple/macbook-neo/specs/macbook-neo-a18-pro-6-core-cpu-5-core-gpu-13-2026-specs.html</t>
  </si>
  <si>
    <t>MacBook Neo 13" A18 Pro 8GB/256GB Indigo</t>
  </si>
  <si>
    <t>MHFF4LL/A</t>
  </si>
  <si>
    <t>Indigo</t>
  </si>
  <si>
    <t>APL-015</t>
  </si>
  <si>
    <t>MacBook Neo 13" A18 Pro 8GB/512GB Blush (Touch ID)</t>
  </si>
  <si>
    <t>MHFJ4LL/A</t>
  </si>
  <si>
    <t>A18 Pro, 8GB, 512GB</t>
  </si>
  <si>
    <t>Blush</t>
  </si>
  <si>
    <t>APL-016</t>
  </si>
  <si>
    <t>MacBook Air 13" M5 16GB/512GB Midnight</t>
  </si>
  <si>
    <t>MDHE4LL/A</t>
  </si>
  <si>
    <t>MacBook Air 13 (M5)</t>
  </si>
  <si>
    <t>M5 10C CPU/8C GPU, 16GB, 512GB</t>
  </si>
  <si>
    <t>Midnight</t>
  </si>
  <si>
    <t>APL-017</t>
  </si>
  <si>
    <t>https://prices.appleinsider.com/macbook-air-13-inch-m5</t>
  </si>
  <si>
    <t>MacBook Air 13" M5 16GB/512GB Sky Blue</t>
  </si>
  <si>
    <t>MDHH4LL/A</t>
  </si>
  <si>
    <t>APL-018</t>
  </si>
  <si>
    <t>MacBook Air 13" M5 24GB/1TB Silver</t>
  </si>
  <si>
    <t>MDH94LL/A</t>
  </si>
  <si>
    <t>M5 10C CPU/10C GPU, 24GB, 1TB</t>
  </si>
  <si>
    <t>APL-019</t>
  </si>
  <si>
    <t>MacBook Air 15" M5 16GB/512GB Midnight</t>
  </si>
  <si>
    <t>MDVH4LL/A</t>
  </si>
  <si>
    <t>MacBook Air 15 (M5)</t>
  </si>
  <si>
    <t>M5, 16GB, 512GB</t>
  </si>
  <si>
    <t>APL-020</t>
  </si>
  <si>
    <t>https://prices.appleinsider.com/macbook-air-15-inch-m5</t>
  </si>
  <si>
    <t>MacBook Air 15" M5 24GB/1TB Silver</t>
  </si>
  <si>
    <t>MDVC4LL/A</t>
  </si>
  <si>
    <t>M5, 24GB, 1TB</t>
  </si>
  <si>
    <t>APL-021</t>
  </si>
  <si>
    <t>MacBook Pro 14" M5 16GB/1TB Space Black</t>
  </si>
  <si>
    <t>MDE14LL/A</t>
  </si>
  <si>
    <t>MacBook Pro 14 (M5)</t>
  </si>
  <si>
    <t>M5 10C CPU/10C GPU, 16GB, 1TB</t>
  </si>
  <si>
    <t>APL-022</t>
  </si>
  <si>
    <t>https://everymac.com/systems/apple/macbook_pro/specs/macbook-pro-m5-10-core-cpu-10-core-gpu-14-2025-specs.html</t>
  </si>
  <si>
    <t>MacBook Pro 14" M5 24GB/1TB Silver</t>
  </si>
  <si>
    <t>MDE64LL/A</t>
  </si>
  <si>
    <t>APL-023</t>
  </si>
  <si>
    <t>MacBook Pro 14" M5 Pro 24GB/1TB Space Black</t>
  </si>
  <si>
    <t>MGDR4LL/A</t>
  </si>
  <si>
    <t>MacBook Pro 14 (M5 Pro)</t>
  </si>
  <si>
    <t>M5 Pro 15C CPU/16C GPU, 24GB, 1TB</t>
  </si>
  <si>
    <t>APL-024</t>
  </si>
  <si>
    <t>https://everymac.com/systems/apple/macbook_pro/specs/macbook-pro-m5-pro-15-core-cpu-16-core-gpu-14-2026-specs.html</t>
  </si>
  <si>
    <t>MacBook Pro 16" M5 Pro 24GB/1TB Space Black</t>
  </si>
  <si>
    <t>MGEA4LL/A</t>
  </si>
  <si>
    <t>MacBook Pro 16 (M5 Pro)</t>
  </si>
  <si>
    <t>M5 Pro 18C CPU/20C GPU, 24GB, 1TB</t>
  </si>
  <si>
    <t>APL-025</t>
  </si>
  <si>
    <t>https://everymac.com/systems/apple/macbook_pro/specs/macbook-pro-m5-pro-18-core-cpu-20-core-gpu-16-2026-specs.html</t>
  </si>
  <si>
    <t>MacBook Pro 16" M5 Max 48GB/2TB Silver</t>
  </si>
  <si>
    <t>MGE94LL/A</t>
  </si>
  <si>
    <t>MacBook Pro 16 (M5 Max)</t>
  </si>
  <si>
    <t>M5 Max 18C CPU/40C GPU, 48GB, 2TB</t>
  </si>
  <si>
    <t>APL-026</t>
  </si>
  <si>
    <t>https://everymac.com/systems/apple/macbook_pro/specs/macbook-pro-m5-max-18-core-cpu-40-core-gpu-16-2026-specs.html</t>
  </si>
  <si>
    <t>Mac mini M6 16GB/256GB</t>
  </si>
  <si>
    <t>MHQK4LL/A</t>
  </si>
  <si>
    <t>Mac mini (M6)</t>
  </si>
  <si>
    <t>M6 12C CPU/12C GPU, 16GB, 256GB</t>
  </si>
  <si>
    <t>APL-027</t>
  </si>
  <si>
    <t>https://everymac.com/systems/apple/mac_mini/specs/mac-mini-m6-12-core-cpu-12-core-gpu-2026-specs.html</t>
  </si>
  <si>
    <t>Mac mini M6 24GB/512GB</t>
  </si>
  <si>
    <t>MHQM4LL/A</t>
  </si>
  <si>
    <t>M6 12C CPU/12C GPU, 24GB, 512GB</t>
  </si>
  <si>
    <t>APL-028</t>
  </si>
  <si>
    <t>iMac 24" M4 10-core 16GB/256GB Blue</t>
  </si>
  <si>
    <t>MWV13LL/A</t>
  </si>
  <si>
    <t>iMac 24 (M4)</t>
  </si>
  <si>
    <t>M4 10C CPU/10C GPU, 16GB, 256GB</t>
  </si>
  <si>
    <t>Blue</t>
  </si>
  <si>
    <t>APL-029</t>
  </si>
  <si>
    <t>https://everymac.com/systems/apple/imac/specs/imac-m4-10-core-cpu-10-core-gpu-four-ports-24-inch-2024-specs.html</t>
  </si>
  <si>
    <t>iMac 24" M4 10-core 16GB/256GB Silver</t>
  </si>
  <si>
    <t>MWUU3LL/A</t>
  </si>
  <si>
    <t>APL-030</t>
  </si>
  <si>
    <t>iPad 11" (A16) Wi-Fi 128GB Blue</t>
  </si>
  <si>
    <t>MD4A4LL/A</t>
  </si>
  <si>
    <t>iPad</t>
  </si>
  <si>
    <t>iPad (A16)</t>
  </si>
  <si>
    <t>Wi-Fi, 128GB</t>
  </si>
  <si>
    <t>APL-031</t>
  </si>
  <si>
    <t>https://everymac.com/systems/apple/ipad/specs/apple-ipad-a16-11-inch-11th-gen-2025-a3354-wi-fi-only-specs.html</t>
  </si>
  <si>
    <t>iPad 11" (A16) Wi-Fi 256GB Silver</t>
  </si>
  <si>
    <t>MD4G4LL/A</t>
  </si>
  <si>
    <t>Wi-Fi, 256GB</t>
  </si>
  <si>
    <t>APL-032</t>
  </si>
  <si>
    <t>iPad mini (A17 Pro) Wi-Fi 128GB Space Gray</t>
  </si>
  <si>
    <t>MXN63LL/A</t>
  </si>
  <si>
    <t>iPad mini (A17 Pro)</t>
  </si>
  <si>
    <t>Space Gray</t>
  </si>
  <si>
    <t>APL-033</t>
  </si>
  <si>
    <t>https://everymac.com/systems/apple/ipad/specs/apple-ipad-mini-a17-pro-7th-gen-2024-a2993-wifi-only-specs.html</t>
  </si>
  <si>
    <t>iPad Air 11" M4 Wi-Fi 128GB Space Gray</t>
  </si>
  <si>
    <t>MH304LL/A</t>
  </si>
  <si>
    <t>iPad Air 11 (M4)</t>
  </si>
  <si>
    <t>APL-034</t>
  </si>
  <si>
    <t>https://everymac.com/systems/apple/ipad/specs/apple-ipad-air-m4-11-inch-2026-a3459-wifi-only-specs.html</t>
  </si>
  <si>
    <t>iPad Air 11" M4 Wi-Fi 256GB Blue</t>
  </si>
  <si>
    <t>MH364LL/A</t>
  </si>
  <si>
    <t>APL-035</t>
  </si>
  <si>
    <t>iPad Air 13" M4 Wi-Fi 128GB Starlight</t>
  </si>
  <si>
    <t>MH5Q4LL/A</t>
  </si>
  <si>
    <t>iPad Air 13 (M4)</t>
  </si>
  <si>
    <t>Starlight</t>
  </si>
  <si>
    <t>APL-036</t>
  </si>
  <si>
    <t>https://everymac.com/systems/apple/ipad/specs/apple-ipad-air-m4-13-inch-2026-a3461-wifi-only-specs.html</t>
  </si>
  <si>
    <t>iPad Pro 11" M5 Wi-Fi 256GB Space Black</t>
  </si>
  <si>
    <t>MDWK4LL/A</t>
  </si>
  <si>
    <t>iPad Pro 11 (M5)</t>
  </si>
  <si>
    <t>Wi-Fi, 256GB, Standard glass</t>
  </si>
  <si>
    <t>APL-037</t>
  </si>
  <si>
    <t>https://everymac.com/systems/apple/ipad/specs/apple-ipad-pro-m5-11-inch-2025-wifi-only-specs.html</t>
  </si>
  <si>
    <t>iPad Pro 11" M5 Wi-Fi 512GB Silver</t>
  </si>
  <si>
    <t>MDWN4LL/A</t>
  </si>
  <si>
    <t>Wi-Fi, 512GB, Standard glass</t>
  </si>
  <si>
    <t>APL-038</t>
  </si>
  <si>
    <t>iPad Pro 13" M5 Wi-Fi 256GB Space Black</t>
  </si>
  <si>
    <t>MDYJ4LL/A</t>
  </si>
  <si>
    <t>iPad Pro 13 (M5)</t>
  </si>
  <si>
    <t>APL-039</t>
  </si>
  <si>
    <t>https://everymac.com/systems/apple/ipad/specs/apple-ipad-pro-m5-13-inch-2025-wifi-only-specs.html</t>
  </si>
  <si>
    <t>iPad Pro 13" M5 Wi-Fi 1TB Nano-texture Silver</t>
  </si>
  <si>
    <t>MDYR4LL/A</t>
  </si>
  <si>
    <t>Wi-Fi, 1TB, Nano-texture glass</t>
  </si>
  <si>
    <t>APL-040</t>
  </si>
  <si>
    <t>Apple Watch Series 12 GPS 42mm Aluminum, Black Sport Band S/M</t>
  </si>
  <si>
    <t>MJEA4LS/A</t>
  </si>
  <si>
    <t>Watch</t>
  </si>
  <si>
    <t>Apple Watch Series 12</t>
  </si>
  <si>
    <t>GPS, 42mm, Aluminum</t>
  </si>
  <si>
    <t>APL-041</t>
  </si>
  <si>
    <t>https://www.bestbuy.com/product/apple-watch-series-12-gps-42mm-aluminum-case-with-black-sport-band-s-m-black-2026/JJGCQP9FPT/sku/6572728</t>
  </si>
  <si>
    <t>Apple Watch Series 12 GPS 46mm Aluminum, Black Sport Band M/L</t>
  </si>
  <si>
    <t>MJEL4LS/A</t>
  </si>
  <si>
    <t>GPS, 46mm, Aluminum</t>
  </si>
  <si>
    <t>APL-042</t>
  </si>
  <si>
    <t>https://www.bestbuy.com/product/apple-watch-series-12-gps-46mm-aluminum-case-with-black-sport-band-m-l-black-2026/JJGCQP9FRY</t>
  </si>
  <si>
    <t>Apple Watch Ultra 4 GPS + Cellular 49mm Black Titanium, Translucent Black Ocean Band</t>
  </si>
  <si>
    <t>MJAY4LS/A</t>
  </si>
  <si>
    <t>Apple Watch Ultra 4</t>
  </si>
  <si>
    <t>GPS + Cellular, 49mm, Titanium</t>
  </si>
  <si>
    <t>APL-043</t>
  </si>
  <si>
    <t>https://www.bestbuy.com/product/apple-watch-ultra-4-gps-cellular-49mm-titanium-case-with-translucent-black-ocean-band-black-2026/JJGCQPR88C/sku/6597854</t>
  </si>
  <si>
    <t>Apple Watch SE 3 GPS 40mm Midnight Aluminum, Midnight Sport Band S/M</t>
  </si>
  <si>
    <t>MEH94LW/A</t>
  </si>
  <si>
    <t>Apple Watch SE 3</t>
  </si>
  <si>
    <t>GPS, 40mm, Aluminum</t>
  </si>
  <si>
    <t>APL-044</t>
  </si>
  <si>
    <t>https://www.bestbuy.com/product/apple-watch-se-3-gps-40mm-midnight-aluminum-case-with-midnight-sport-band-s-m-midnight-2025/JJGCQGVKGZ</t>
  </si>
  <si>
    <t>AirPods Pro 3</t>
  </si>
  <si>
    <t>MFHP4LL/A</t>
  </si>
  <si>
    <t>Audio &amp; Accessories</t>
  </si>
  <si>
    <t>USB-C MagSafe case</t>
  </si>
  <si>
    <t>APL-045</t>
  </si>
  <si>
    <t>https://www.bestbuy.com/product/apple-airpods-pro-3-wireless-active-noise-cancelling-earbuds-with-heart-rate-sensing-feature-white/JJGCQLYK5F/sku/6376563</t>
  </si>
  <si>
    <t>AirPods 4 with Active Noise Cancellation</t>
  </si>
  <si>
    <t>MXP93LL/A</t>
  </si>
  <si>
    <t>AirPods 4</t>
  </si>
  <si>
    <t>ANC</t>
  </si>
  <si>
    <t>APL-046</t>
  </si>
  <si>
    <t>https://www.bestbuy.com/product/apple-airpods-4-with-active-noise-cancellation-white/JJGCQ832YX</t>
  </si>
  <si>
    <t>AirPods Max 2 (USB-C) Midnight</t>
  </si>
  <si>
    <t>MHWK4AM/A</t>
  </si>
  <si>
    <t>AirPods Max 2</t>
  </si>
  <si>
    <t>USB-C</t>
  </si>
  <si>
    <t>APL-047</t>
  </si>
  <si>
    <t>https://www.bestbuy.com/product/apple-airpods-max-2-usb-c-midnight/JJGCQYH99P/sku/6494847</t>
  </si>
  <si>
    <t>AirTag (2nd generation) 4-pack</t>
  </si>
  <si>
    <t>MFEA4LL/A</t>
  </si>
  <si>
    <t>AirTag (2nd gen)</t>
  </si>
  <si>
    <t>4-pack</t>
  </si>
  <si>
    <t>APL-048</t>
  </si>
  <si>
    <t>https://www.bestbuy.com/product/apple-airtag-4-pack-2nd-generation-2026-white/JJGCQLTTF3</t>
  </si>
  <si>
    <t>Apple Pencil Pro</t>
  </si>
  <si>
    <t>MX2D3AM/A</t>
  </si>
  <si>
    <t>-</t>
  </si>
  <si>
    <t>APL-049</t>
  </si>
  <si>
    <t>https://www.bestbuy.com/product/apple-pencil-pro-white/JJGCQ35H4Q</t>
  </si>
  <si>
    <t>Apple TV 4K Wi-Fi + Ethernet 128GB</t>
  </si>
  <si>
    <t>MN893LL/A</t>
  </si>
  <si>
    <t>Apple TV 4K</t>
  </si>
  <si>
    <t>Wi-Fi + Ethernet, 128GB</t>
  </si>
  <si>
    <t>APL-050</t>
  </si>
  <si>
    <t>https://www.apple.com/shop/buy-tv/apple-tv-4k/128gb</t>
  </si>
  <si>
    <t>Galaxy S26 Ultra 256GB Black (Unlocked)</t>
  </si>
  <si>
    <t>SM-S948UZKAXAA</t>
  </si>
  <si>
    <t>Smartphones</t>
  </si>
  <si>
    <t>Galaxy S26 Ultra</t>
  </si>
  <si>
    <t>SAM-001</t>
  </si>
  <si>
    <t>https://www.samsung.com/us/smartphones/galaxy-s26-ultra/buy/galaxy-s26-ultra-256gb-unlocked-sku-sm-s948uzkaxaa/</t>
  </si>
  <si>
    <t>Galaxy S26 Ultra 256GB Silver (Unlocked)</t>
  </si>
  <si>
    <t>SM-S948UZSAXAA</t>
  </si>
  <si>
    <t>SAM-002</t>
  </si>
  <si>
    <t>https://www.samsung.com/us/smartphones/galaxy-s26-ultra/buy/galaxy-s26-ultra-256gb-unlocked-sku-sm-s948uzsaxaa/</t>
  </si>
  <si>
    <t>Galaxy S26 Ultra 512GB Black (Unlocked)</t>
  </si>
  <si>
    <t>SM-S948UZKEXAA</t>
  </si>
  <si>
    <t>SAM-003</t>
  </si>
  <si>
    <t>https://www.samsung.com/us/smartphones/galaxy-s26-ultra/buy/galaxy-s26-ultra-512gb-unlocked-sku-sm-s948uzkexaa/</t>
  </si>
  <si>
    <t>Galaxy S26 Ultra 512GB White (Unlocked)</t>
  </si>
  <si>
    <t>SM-S948UZWEXAA</t>
  </si>
  <si>
    <t>SAM-004</t>
  </si>
  <si>
    <t>https://www.samsung.com/us/smartphones/galaxy-s26-ultra/buy/galaxy-s26-ultra-512gb-unlocked-sku-sm-s948uzwexaa/</t>
  </si>
  <si>
    <t>Galaxy S26+ 256GB Black (Unlocked)</t>
  </si>
  <si>
    <t>SM-S947UZKAXAA</t>
  </si>
  <si>
    <t>Galaxy S26+</t>
  </si>
  <si>
    <t>SAM-005</t>
  </si>
  <si>
    <t>https://www.samsung.com/us/smartphones/galaxy-s26-plus/buy/galaxy-s26-plus-256gb-unlocked-sku-sm-s947uzkaxaa/</t>
  </si>
  <si>
    <t>Galaxy S26+ 512GB Black (Unlocked)</t>
  </si>
  <si>
    <t>SM-S947UZKEXAA</t>
  </si>
  <si>
    <t>SAM-006</t>
  </si>
  <si>
    <t>https://www.samsung.com/us/smartphones/galaxy-s26-plus/buy/galaxy-s26-plus-512gb-unlocked-sku-sm-s947uzkexaa/</t>
  </si>
  <si>
    <t>Galaxy S26 256GB Black (Unlocked)</t>
  </si>
  <si>
    <t>SM-S942UZKEXAA</t>
  </si>
  <si>
    <t>Galaxy S26</t>
  </si>
  <si>
    <t>SAM-007</t>
  </si>
  <si>
    <t>https://www.samsung.com/us/smartphones/galaxy-s26/buy/galaxy-s26-256gb-unlocked-sku-sm-s942uzkexaa/</t>
  </si>
  <si>
    <t>Galaxy S26 256GB Blue (Unlocked)</t>
  </si>
  <si>
    <t>SM-S942ULBEXAA</t>
  </si>
  <si>
    <t>SAM-008</t>
  </si>
  <si>
    <t>https://www.samsung.com/us/smartphones/galaxy-s26/buy/galaxy-s26-256gb-unlocked-sku-sm-s942ulbexaa/</t>
  </si>
  <si>
    <t>Galaxy S26 FE 128GB Graphite (Unlocked)</t>
  </si>
  <si>
    <t>SM-S741UZKAXAA</t>
  </si>
  <si>
    <t>Galaxy S26 FE</t>
  </si>
  <si>
    <t>128GB</t>
  </si>
  <si>
    <t>Graphite</t>
  </si>
  <si>
    <t>SAM-009</t>
  </si>
  <si>
    <t>https://www.samsung.com/us/smartphones/galaxy-s26-fe/buy/galaxy-s26-fe-128gb-unlocked-sku-sm-s741uzkaxaa/</t>
  </si>
  <si>
    <t>Galaxy S26 FE 256GB Graphite (Unlocked)</t>
  </si>
  <si>
    <t>SM-S741UZKEXAA</t>
  </si>
  <si>
    <t>SAM-010</t>
  </si>
  <si>
    <t>https://www.samsung.com/us/smartphones/galaxy-s26-fe/buy/galaxy-s26-fe-256gb-unlocked-sku-sm-s741uzkexaa/</t>
  </si>
  <si>
    <t>Galaxy A57 5G 128GB Awesome Icy Blue (Unlocked)</t>
  </si>
  <si>
    <t>SM-A576ULBAXAA</t>
  </si>
  <si>
    <t>Galaxy A57 5G</t>
  </si>
  <si>
    <t>Awesome Icy Blue</t>
  </si>
  <si>
    <t>SAM-011</t>
  </si>
  <si>
    <t>https://www.bestbuy.com/product/samsung-galaxy-a57-5g-128gb-unlocked-awesome-icy-blue/JJGRF3H8FT/sku/6678049</t>
  </si>
  <si>
    <t>Galaxy A37 5G 128GB (Unlocked)</t>
  </si>
  <si>
    <t>SM-A376UZAAXAA</t>
  </si>
  <si>
    <t>Galaxy A37 5G</t>
  </si>
  <si>
    <t>Awesome Charcoal</t>
  </si>
  <si>
    <t>SAM-012</t>
  </si>
  <si>
    <t>https://www.samsung.com/us/smartphones/galaxy-a37-5g/buy/galaxy-a37-5g-128gb-unlocked-sku-sm-a376uzaaxaa/</t>
  </si>
  <si>
    <t>Galaxy Z Fold8 Ultra 256GB Graphite (Unlocked)</t>
  </si>
  <si>
    <t>SM-F976UZKAXAA</t>
  </si>
  <si>
    <t>Galaxy Z Fold8 Ultra</t>
  </si>
  <si>
    <t>SAM-013</t>
  </si>
  <si>
    <t>https://www.samsung.com/us/smartphones/galaxy-z-fold8-ultra/buy/galaxy-z-fold8-ultra-256gb-unlocked-sku-sm-f976uzkaxaa/</t>
  </si>
  <si>
    <t>Galaxy Z Fold8 Ultra 512GB Graphite (Unlocked)</t>
  </si>
  <si>
    <t>SM-F976UZKEXAA</t>
  </si>
  <si>
    <t>SAM-014</t>
  </si>
  <si>
    <t>https://www.samsung.com/us/smartphones/galaxy-z-fold8-ultra/buy/galaxy-z-fold8-ultra-512gb-unlocked-sku-sm-f976uzkexaa/</t>
  </si>
  <si>
    <t>Galaxy Z Fold8 Ultra 1TB Green (Unlocked)</t>
  </si>
  <si>
    <t>SM-F976UDGFXAA</t>
  </si>
  <si>
    <t>Green</t>
  </si>
  <si>
    <t>SAM-015</t>
  </si>
  <si>
    <t>https://www.samsung.com/us/smartphones/galaxy-z-fold8-ultra/buy/galaxy-z-fold8-ultra-1tb-unlocked-sku-sm-f976udgfxaa/</t>
  </si>
  <si>
    <t>Galaxy Z Fold8 256GB Graphite (Unlocked)</t>
  </si>
  <si>
    <t>SM-F971UZKAXAA</t>
  </si>
  <si>
    <t>Galaxy Z Fold8</t>
  </si>
  <si>
    <t>SAM-016</t>
  </si>
  <si>
    <t>https://www.samsung.com/us/smartphones/galaxy-z-fold8/buy/galaxy-z-fold8-256gb-unlocked-sku-sm-f971uzkaxaa/</t>
  </si>
  <si>
    <t>Galaxy Z Fold8 256GB Lavender (Unlocked)</t>
  </si>
  <si>
    <t>SM-F971ULVAXAA</t>
  </si>
  <si>
    <t>SAM-017</t>
  </si>
  <si>
    <t>https://www.samsung.com/us/smartphones/galaxy-z-fold8/buy/galaxy-z-fold8-256gb-unlocked-sku-sm-f971ulvaxaa/</t>
  </si>
  <si>
    <t>Galaxy Z Flip8 256GB Pink (Unlocked)</t>
  </si>
  <si>
    <t>SM-F776ULIAXAA</t>
  </si>
  <si>
    <t>Galaxy Z Flip8</t>
  </si>
  <si>
    <t>Pink</t>
  </si>
  <si>
    <t>SAM-018</t>
  </si>
  <si>
    <t>https://www.samsung.com/us/smartphones/galaxy-z-flip8/buy/galaxy-z-flip8-256gb-unlocked-sku-sm-f776uliaxaa/</t>
  </si>
  <si>
    <t>Galaxy Z Flip8 256GB Mint (Unlocked)</t>
  </si>
  <si>
    <t>SM-F776ULGAXAA</t>
  </si>
  <si>
    <t>Mint</t>
  </si>
  <si>
    <t>SAM-019</t>
  </si>
  <si>
    <t>https://www.samsung.com/us/smartphones/galaxy-z-flip8/buy/galaxy-z-flip8-256gb-unlocked-sku-sm-f776ulgaxaa/</t>
  </si>
  <si>
    <t>Galaxy Tab S11 Ultra 14.6" Wi-Fi 256GB Gray</t>
  </si>
  <si>
    <t>SM-X930NZAAXAR</t>
  </si>
  <si>
    <t>Tablets</t>
  </si>
  <si>
    <t>Galaxy Tab S11 Ultra</t>
  </si>
  <si>
    <t>Gray</t>
  </si>
  <si>
    <t>SAM-020</t>
  </si>
  <si>
    <t>https://www.samsung.com/us/tablets/galaxy-tab-s11/buy/galaxy-tab-s11-ultra-256gb-gray-wi-fi-sku-sm-x930nzaaxar/</t>
  </si>
  <si>
    <t>Galaxy Tab S11 Ultra 14.6" Wi-Fi 256GB Silver</t>
  </si>
  <si>
    <t>SM-X930NZSAXAR</t>
  </si>
  <si>
    <t>SAM-021</t>
  </si>
  <si>
    <t>https://www.samsung.com/us/tablets/galaxy-tab-s11/buy/galaxy-tab-s11-ultra-256gb-silver-wi-fi-sku-sm-x930nzsaxar/</t>
  </si>
  <si>
    <t>Galaxy Tab S11 Ultra 14.6" Wi-Fi 512GB Gray</t>
  </si>
  <si>
    <t>SM-X930NZAEXAR</t>
  </si>
  <si>
    <t>Wi-Fi, 512GB</t>
  </si>
  <si>
    <t>SAM-022</t>
  </si>
  <si>
    <t>https://www.samsung.com/us/tablets/galaxy-tab-s11/buy/galaxy-tab-s11-ultra-512gb-gray-wi-fi-sku-sm-x930nzaexar/</t>
  </si>
  <si>
    <t>Galaxy Tab S11 Ultra 14.6" Wi-Fi 1TB Gray</t>
  </si>
  <si>
    <t>SM-X930NZAIXAR</t>
  </si>
  <si>
    <t>Wi-Fi, 1TB</t>
  </si>
  <si>
    <t>SAM-023</t>
  </si>
  <si>
    <t>https://www.samsung.com/us/tablets/galaxy-tab-s11/buy/galaxy-tab-s11-ultra-1tb-gray-wi-fi-sku-sm-x930nzaixar/</t>
  </si>
  <si>
    <t>Galaxy Tab S11 11" Wi-Fi 128GB Gray</t>
  </si>
  <si>
    <t>SM-X730NZAAXAR</t>
  </si>
  <si>
    <t>Galaxy Tab S11</t>
  </si>
  <si>
    <t>SAM-024</t>
  </si>
  <si>
    <t>https://www.bestbuy.com/product/samsung-galaxy-tab-s11-11-128gb-wi-fi-with-s-pen-gray/JJGRF39WLC/sku/6641206</t>
  </si>
  <si>
    <t>Galaxy Tab S11 11" Wi-Fi 128GB Silver</t>
  </si>
  <si>
    <t>SM-X730NZSAXAR</t>
  </si>
  <si>
    <t>SAM-025</t>
  </si>
  <si>
    <t>https://www.samsung.com/us/tablets/galaxy-tab-s11/buy/galaxy-tab-s11-128gb-silver-wi-fi-sku-sm-x730nzsaxar/</t>
  </si>
  <si>
    <t>Galaxy Book6 Pro 14" Core Ultra 7, 16GB/512GB Gray</t>
  </si>
  <si>
    <t>NP940XJG-KG2US</t>
  </si>
  <si>
    <t>Laptops</t>
  </si>
  <si>
    <t>Galaxy Book6 Pro</t>
  </si>
  <si>
    <t>14", Intel Core Ultra 7, 16GB, 512GB</t>
  </si>
  <si>
    <t>SAM-026</t>
  </si>
  <si>
    <t>https://www.samsung.com/us/computers/galaxy-book/galaxy-book6-series/buy/galaxy-book6-pro-14-intel-core-ultra-7-512gb-gray-sku-np940xjg-kg2us/</t>
  </si>
  <si>
    <t>Galaxy Book6 Pro 16" Core Ultra 7, 16GB/1TB Gray</t>
  </si>
  <si>
    <t>NP960XJG-KA2US</t>
  </si>
  <si>
    <t>16", Intel Core Ultra 7, 16GB, 1TB</t>
  </si>
  <si>
    <t>SAM-027</t>
  </si>
  <si>
    <t>https://www.bestbuy.com/product/samsung-galaxy-book6-pro-copilot-pc-16-3k-amoled-touch-screen-laptop-intel-core-ultra-7-16gb-memory-1tb-ssd-gray/JJGRF3H755</t>
  </si>
  <si>
    <t>Galaxy Book6 Ultra 16" Core Ultra 7, 32GB/1TB, RTX 5060 Gray</t>
  </si>
  <si>
    <t>NP960UJH-XG2US</t>
  </si>
  <si>
    <t>Galaxy Book6 Ultra</t>
  </si>
  <si>
    <t>16", Intel Core Ultra 7 356H, 32GB, 1TB, RTX 5060</t>
  </si>
  <si>
    <t>SAM-028</t>
  </si>
  <si>
    <t>https://www.samsung.com/us/computers/galaxy-book/galaxy-book6-series/buy/galaxy-book6-ultra-16-intel-core-ultra-7-1tb-gray-sku-np960ujh-xg2us/</t>
  </si>
  <si>
    <t>Galaxy Watch9 44mm Bluetooth Graphite</t>
  </si>
  <si>
    <t>SM-L350NZKAXAA</t>
  </si>
  <si>
    <t>Wearables &amp; Audio</t>
  </si>
  <si>
    <t>Galaxy Watch9</t>
  </si>
  <si>
    <t>44mm, Bluetooth</t>
  </si>
  <si>
    <t>SAM-029</t>
  </si>
  <si>
    <t>https://www.samsung.com/us/watches/galaxy-watch9/buy/galaxy-watch9-44mm-graphite-bluetooth-sku-sm-l350nzkaxaa/</t>
  </si>
  <si>
    <t>Galaxy Watch Ultra2 47mm LTE Titanium Gray</t>
  </si>
  <si>
    <t>SM-L715UZKAXAA</t>
  </si>
  <si>
    <t>Galaxy Watch Ultra2</t>
  </si>
  <si>
    <t>47mm, LTE</t>
  </si>
  <si>
    <t>Titanium Gray</t>
  </si>
  <si>
    <t>SAM-030</t>
  </si>
  <si>
    <t>https://www.bestbuy.com/product/samsung-galaxy-watch-ultra2-titanium-smartwatch-47mm-lte-titanium-gray-2026/JJGRF3F3JT</t>
  </si>
  <si>
    <t>Galaxy Watch Ultra2 47mm LTE Titanium Silver</t>
  </si>
  <si>
    <t>SM-L715UZSAXAA</t>
  </si>
  <si>
    <t>Titanium Silver</t>
  </si>
  <si>
    <t>SAM-031</t>
  </si>
  <si>
    <t>https://www.bestbuy.com/product/samsung-galaxy-watch-ultra2-titanium-smartwatch-47mm-lte-titanium-silver-2026/JJGRF3FXV3</t>
  </si>
  <si>
    <t>Galaxy Buds4 Pro Black</t>
  </si>
  <si>
    <t>SM-R640NZKAXAR</t>
  </si>
  <si>
    <t>Galaxy Buds4 Pro</t>
  </si>
  <si>
    <t>SAM-032</t>
  </si>
  <si>
    <t>https://www.bestbuy.com/product/samsung-galaxy-buds4-pro-wireless-earbud-headphones-black/JJGRF3Q958</t>
  </si>
  <si>
    <t>Galaxy Buds4 Pro White</t>
  </si>
  <si>
    <t>SM-R640NZWAXAR</t>
  </si>
  <si>
    <t>SAM-033</t>
  </si>
  <si>
    <t>https://www.samsung.com/us/audio-sound/galaxy-buds4-pro/buy/galaxy-buds4-pro-white-sku-sm-r640nzwaxar/</t>
  </si>
  <si>
    <t>Galaxy Buds4 Black</t>
  </si>
  <si>
    <t>SM-R540NZKAXAR</t>
  </si>
  <si>
    <t>Galaxy Buds4</t>
  </si>
  <si>
    <t>SAM-034</t>
  </si>
  <si>
    <t>https://www.samsung.com/us/audio-sound/galaxy-buds4/buy/galaxy-buds4-black-sku-sm-r540nzkaxar/</t>
  </si>
  <si>
    <t>65" Class Neo QLED 4K QN80H (2026)</t>
  </si>
  <si>
    <t>QN65QN80HAFXZA</t>
  </si>
  <si>
    <t>TV &amp; Home AV</t>
  </si>
  <si>
    <t>Neo QLED QN80H</t>
  </si>
  <si>
    <t>65", 4K Mini LED</t>
  </si>
  <si>
    <t>SAM-035</t>
  </si>
  <si>
    <t>https://www.bestbuy.com/product/samsung-65-class-qn80h-series-neo-qled-mini-led-4k-uhd-samsungvision-ai-smart-tizen-tv-2026/JJGRF3QXKJ</t>
  </si>
  <si>
    <t>65" Class OLED S90H (2026)</t>
  </si>
  <si>
    <t>QN65S90HAEXZA</t>
  </si>
  <si>
    <t>OLED S90H</t>
  </si>
  <si>
    <t>65", 4K OLED</t>
  </si>
  <si>
    <t>SAM-036</t>
  </si>
  <si>
    <t>https://www.bestbuy.com/product/samsung-65-class-s90h-oled-4k-glare-free-tv-with-samsungvisionai-2026/JJGRF3QG5V</t>
  </si>
  <si>
    <t>65" Class OLED S95H (2026)</t>
  </si>
  <si>
    <t>QN65S95HAFXZA</t>
  </si>
  <si>
    <t>OLED S95H</t>
  </si>
  <si>
    <t>65", 4K QD-OLED</t>
  </si>
  <si>
    <t>SAM-037</t>
  </si>
  <si>
    <t>https://www.bestbuy.com/product/samsung-65-class-s95h-oled-4k-glare-free-tv-with-samsungvisionai-2026/JJGRF3Q3GR</t>
  </si>
  <si>
    <t>65" Class The Frame LS03HE QLED 4K (2026)</t>
  </si>
  <si>
    <t>QN65LS03HEFXZA</t>
  </si>
  <si>
    <t>The Frame</t>
  </si>
  <si>
    <t>65", 4K QLED Art TV</t>
  </si>
  <si>
    <t>SAM-038</t>
  </si>
  <si>
    <t>https://www.bestbuy.com/product/samsung-65-class-ls03h-series-the-frame-4k-uhd-samsungvision-ai-smart-tizen-tv-2026/JJGRF3HJXQ</t>
  </si>
  <si>
    <t>65" Class The Frame Pro LS03HW Neo QLED 4K (2026)</t>
  </si>
  <si>
    <t>QN65LS03HWFXZA</t>
  </si>
  <si>
    <t>The Frame Pro</t>
  </si>
  <si>
    <t>65", 4K Neo QLED Art TV</t>
  </si>
  <si>
    <t>SAM-039</t>
  </si>
  <si>
    <t>https://www.bestbuy.com/product/samsung-65-class-ls03hw-series-the-frame-pro-4k-uhd-samsungvision-ai-smart-tizen-tv-2026/JJGRF3QH8H/sku/6671651</t>
  </si>
  <si>
    <t>Q-Series Soundbar HW-Q990H 11.1.4ch (2026)</t>
  </si>
  <si>
    <t>HW-Q990H/ZA</t>
  </si>
  <si>
    <t>Q-Series Soundbar</t>
  </si>
  <si>
    <t>11.1.4ch with sub + rears</t>
  </si>
  <si>
    <t>Titan Black</t>
  </si>
  <si>
    <t>SAM-040</t>
  </si>
  <si>
    <t>https://www.bestbuy.com/product/samsung-q-series-soundbar-hw-q990h-za-11-1-4-ch-subwoofer-with-rear-speaker-2026-titan-black/JJGRF3Q87K</t>
  </si>
  <si>
    <t>27" Odyssey OLED G8 G80SH 4K 240Hz Gaming Monitor</t>
  </si>
  <si>
    <t>LS27HG802SNXZA</t>
  </si>
  <si>
    <t>Monitors</t>
  </si>
  <si>
    <t>Odyssey OLED G8</t>
  </si>
  <si>
    <t>27", 4K QD-OLED, 240Hz</t>
  </si>
  <si>
    <t>SAM-041</t>
  </si>
  <si>
    <t>https://www.samsung.com/us/monitors/gaming/27-inch-odyssey-oled-g8-g80sh-4k-gaming-monitor-sku-ls27hg802snxza/</t>
  </si>
  <si>
    <t>27" Odyssey G8 G80HF 5K Gaming Monitor</t>
  </si>
  <si>
    <t>LS27HG802EFXZA</t>
  </si>
  <si>
    <t>Odyssey G8</t>
  </si>
  <si>
    <t>27", 5K Fast IPS</t>
  </si>
  <si>
    <t>SAM-042</t>
  </si>
  <si>
    <t>https://www.samsung.com/us/monitors/gaming/27-inch-odyssey-g8-g80hf-5k-gaming-monitor-sku-ls27hg802efxza/</t>
  </si>
  <si>
    <t>27" Odyssey OLED G8 G81SF 4K 240Hz Gaming Monitor</t>
  </si>
  <si>
    <t>LS27FG810SNXZA</t>
  </si>
  <si>
    <t>SAM-043</t>
  </si>
  <si>
    <t>https://www.bestbuy.com/product/samsung-27-odyssey-oled-g8-g81sf-4k-uhd-240hz-0-03ms-amd-freesync-premium-pro-glare-free-hdr-400-gaming-monitor-silver/J3ZYG2FHXG</t>
  </si>
  <si>
    <t>#</t>
  </si>
  <si>
    <t>Merchant / Source</t>
  </si>
  <si>
    <t>Website</t>
  </si>
  <si>
    <t>Channel Type</t>
  </si>
  <si>
    <t>Seller Model</t>
  </si>
  <si>
    <t>Authorization Status</t>
  </si>
  <si>
    <t>Priority</t>
  </si>
  <si>
    <t>Check Frequency</t>
  </si>
  <si>
    <t>Collection Method</t>
  </si>
  <si>
    <t>Notes</t>
  </si>
  <si>
    <t>Categories Covered</t>
  </si>
  <si>
    <t>LG.com</t>
  </si>
  <si>
    <t>https://www.lg.com/us/laptops</t>
  </si>
  <si>
    <t>Brand DTC</t>
  </si>
  <si>
    <t>1P</t>
  </si>
  <si>
    <t>Brand DTC (reference price, not enforced)</t>
  </si>
  <si>
    <t>P1</t>
  </si>
  <si>
    <t>Daily</t>
  </si>
  <si>
    <t>HTML fetch + Playwright fallback</t>
  </si>
  <si>
    <t>Brand list price; frequent LG.com-only promos</t>
  </si>
  <si>
    <t>Y</t>
  </si>
  <si>
    <t>Amazon.com</t>
  </si>
  <si>
    <t>https://www.amazon.com</t>
  </si>
  <si>
    <t>Marketplace</t>
  </si>
  <si>
    <t>1P + 3P</t>
  </si>
  <si>
    <t>Marketplace - authorize at seller level</t>
  </si>
  <si>
    <t>Every 4 hrs</t>
  </si>
  <si>
    <t>PA-API or licensed data (legal review); needs US egress</t>
  </si>
  <si>
    <t>Largest gram volume; many 3P sellers. PoC blocked from India; LG-P09 ASIN dead</t>
  </si>
  <si>
    <t>Best Buy</t>
  </si>
  <si>
    <t>https://www.bestbuy.com</t>
  </si>
  <si>
    <t>National retail</t>
  </si>
  <si>
    <t>Expected authorized - confirm vs brand dealer list</t>
  </si>
  <si>
    <t>Best Buy Products API (key pending); HTML fallback</t>
  </si>
  <si>
    <t>PoC connection dropped from India</t>
  </si>
  <si>
    <t>Walmart.com</t>
  </si>
  <si>
    <t>https://www.walmart.com</t>
  </si>
  <si>
    <t>National retail + marketplace</t>
  </si>
  <si>
    <t>PoC OK; watch 3P buy-box holders</t>
  </si>
  <si>
    <t>Costco</t>
  </si>
  <si>
    <t>https://www.costco.com</t>
  </si>
  <si>
    <t>Warehouse club</t>
  </si>
  <si>
    <t>1P (member price)</t>
  </si>
  <si>
    <t>2x daily</t>
  </si>
  <si>
    <t>Playwright (JS-rendered pages)</t>
  </si>
  <si>
    <t>Club-specific bundles/SKUs</t>
  </si>
  <si>
    <t>B&amp;H Photo Video</t>
  </si>
  <si>
    <t>https://www.bhphotovideo.com</t>
  </si>
  <si>
    <t>Specialty (online)</t>
  </si>
  <si>
    <t>Lists LG model numbers; good matching</t>
  </si>
  <si>
    <t>Newegg</t>
  </si>
  <si>
    <t>https://www.newegg.com</t>
  </si>
  <si>
    <t>P2</t>
  </si>
  <si>
    <t>Many 3P laptop sellers</t>
  </si>
  <si>
    <t>Micro Center</t>
  </si>
  <si>
    <t>https://www.microcenter.com</t>
  </si>
  <si>
    <t>Specialty (stores + online)</t>
  </si>
  <si>
    <t>In-store-only prices shown online</t>
  </si>
  <si>
    <t>Adorama</t>
  </si>
  <si>
    <t>https://www.adorama.com</t>
  </si>
  <si>
    <t>Abt Electronics</t>
  </si>
  <si>
    <t>https://www.abt.com</t>
  </si>
  <si>
    <t>Regional specialty</t>
  </si>
  <si>
    <t>Lists LG model numbers</t>
  </si>
  <si>
    <t>Sam's Club</t>
  </si>
  <si>
    <t>https://www.samsclub.com</t>
  </si>
  <si>
    <t>Member pricing</t>
  </si>
  <si>
    <t>Staples</t>
  </si>
  <si>
    <t>https://www.staples.com</t>
  </si>
  <si>
    <t>Office retail</t>
  </si>
  <si>
    <t>P3</t>
  </si>
  <si>
    <t>B2B overlap</t>
  </si>
  <si>
    <t>Office Depot</t>
  </si>
  <si>
    <t>https://www.officedepot.com</t>
  </si>
  <si>
    <t>eBay</t>
  </si>
  <si>
    <t>https://www.ebay.com</t>
  </si>
  <si>
    <t>3P</t>
  </si>
  <si>
    <t>eBay Browse API (developer key)</t>
  </si>
  <si>
    <t>New-condition listings only; unauthorized sellers</t>
  </si>
  <si>
    <t>Google Shopping</t>
  </si>
  <si>
    <t>https://shopping.google.com</t>
  </si>
  <si>
    <t>Price comparison</t>
  </si>
  <si>
    <t>Aggregator</t>
  </si>
  <si>
    <t>Discovery only (routes to sellers)</t>
  </si>
  <si>
    <t>Merchant discovery scan</t>
  </si>
  <si>
    <t>Finds new sellers to add</t>
  </si>
  <si>
    <t>Apple.com</t>
  </si>
  <si>
    <t>https://www.apple.com/shop</t>
  </si>
  <si>
    <t>Source of truth for list price; baseline for MAP changes</t>
  </si>
  <si>
    <t>Track buy-box seller + all offers; PoC blocked from India (bot checks)</t>
  </si>
  <si>
    <t>1P (+ carrier-activated)</t>
  </si>
  <si>
    <t>PoC connection dropped from India; API recommended</t>
  </si>
  <si>
    <t>PoC OK (24/26 ok); most buy boxes held by 3P sellers</t>
  </si>
  <si>
    <t>Target</t>
  </si>
  <si>
    <t>https://www.target.com</t>
  </si>
  <si>
    <t>Circle / weekly-ad promos; check promo windows</t>
  </si>
  <si>
    <t>Member-only prices; bundles (AppleCare) need normalising</t>
  </si>
  <si>
    <t>Shows MFR # on page; good SKU matching</t>
  </si>
  <si>
    <t>Frequent instant-rebate style pricing</t>
  </si>
  <si>
    <t>In-store-only prices shown online; capture store context</t>
  </si>
  <si>
    <t>Expercom</t>
  </si>
  <si>
    <t>https://www.expercom.com</t>
  </si>
  <si>
    <t>Apple specialist</t>
  </si>
  <si>
    <t>Apple-only reseller; frequent Mac discounts</t>
  </si>
  <si>
    <t>Lists MFR part numbers</t>
  </si>
  <si>
    <t>B2B/education overlap</t>
  </si>
  <si>
    <t>Verizon</t>
  </si>
  <si>
    <t>https://www.verizon.com</t>
  </si>
  <si>
    <t>Carrier</t>
  </si>
  <si>
    <t>Carrier channel - confirm vs brand list</t>
  </si>
  <si>
    <t>Device price vs promo credits; separate from MAP on unlocked</t>
  </si>
  <si>
    <t>AT&amp;T</t>
  </si>
  <si>
    <t>https://www.att.com</t>
  </si>
  <si>
    <t>Same as Verizon</t>
  </si>
  <si>
    <t>T-Mobile</t>
  </si>
  <si>
    <t>https://www.t-mobile.com</t>
  </si>
  <si>
    <t>3P mostly</t>
  </si>
  <si>
    <t>Watch for grey-market / unauthorized sellers</t>
  </si>
  <si>
    <t>New-condition listings only; unauthorized seller detection</t>
  </si>
  <si>
    <t>Finds new sellers to add to the source list</t>
  </si>
  <si>
    <t>Samsung.com</t>
  </si>
  <si>
    <t>https://www.samsung.com/us</t>
  </si>
  <si>
    <t>Source of truth for MSRP; watch 'was/now' promo windows</t>
  </si>
  <si>
    <t>Track buy-box seller + all offers; PoC blocked from India</t>
  </si>
  <si>
    <t>Largest TV/phone share; PoC connection dropped from India</t>
  </si>
  <si>
    <t>PoC OK; SAM-P03 colour-variant URL needs fixing</t>
  </si>
  <si>
    <t>Weekly-ad promos</t>
  </si>
  <si>
    <t>TV bundles (extended warranty) need normalising</t>
  </si>
  <si>
    <t>Monitors, laptops, TVs</t>
  </si>
  <si>
    <t>Crutchfield</t>
  </si>
  <si>
    <t>https://www.crutchfield.com</t>
  </si>
  <si>
    <t>Specialty AV</t>
  </si>
  <si>
    <t>Premium TV/soundbar dealer; key for TV MAP</t>
  </si>
  <si>
    <t>TVs, phones, appliances</t>
  </si>
  <si>
    <t>P.C. Richard &amp; Son</t>
  </si>
  <si>
    <t>https://www.pcrichard.com</t>
  </si>
  <si>
    <t>Northeast TV/AV retailer</t>
  </si>
  <si>
    <t>Monitors and laptops</t>
  </si>
  <si>
    <t>Monitors; many 3P sellers</t>
  </si>
  <si>
    <t>The Home Depot</t>
  </si>
  <si>
    <t>https://www.homedepot.com</t>
  </si>
  <si>
    <t>Home improvement</t>
  </si>
  <si>
    <t>TVs and soundbars</t>
  </si>
  <si>
    <t>Device price vs promo credits</t>
  </si>
  <si>
    <t>Track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</si>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</sst>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9" x14ac:knownFonts="1">
    <font>
      <sz val="11"/>
      <color theme="1"/>
      <name val="Calibri"/>
      <family val="2"/>
      <charset val="1"/>
    </font>
    <font>
      <sz val="11"/>
      <color theme="1"/>
      <name val="Aptos Narrow"/>
      <family val="2"/>
    </font>
    <font>
      <b/>
      <sz val="10"/>
      <color rgb="FFFFFFFF"/>
      <name val="Aptos Narrow"/>
      <family val="2"/>
    </font>
    <font>
      <sz val="10"/>
      <name val="Aptos Narrow"/>
      <family val="2"/>
    </font>
    <font>
      <u/>
      <sz val="10"/>
      <color rgb="FF0563C1"/>
      <name val="Aptos Narrow"/>
      <family val="2"/>
    </font>
    <font>
      <b/>
      <sz val="10"/>
      <color rgb="FFFFFFFF"/>
      <name val="Aptos"/>
      <family val="2"/>
    </font>
    <font>
      <sz val="11"/>
      <color theme="1"/>
      <name val="Aptos"/>
      <family val="2"/>
    </font>
    <font>
      <sz val="10"/>
      <name val="Aptos"/>
      <family val="2"/>
    </font>
    <font>
      <u/>
      <sz val="10"/>
      <color rgb="FF0563C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42"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  <dxf>
      <font>
        <strike val="0"/>
        <outline val="0"/>
        <shadow val="0"/>
        <vertAlign val="baseline"/>
        <name val="Aptos Narrow"/>
        <family val="2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LG_Product_Summary" displayName="LG_Product_Summary" ref="A1:L35" totalsRowShown="0" headerRowDxfId="29" dataDxfId="28">
  <autoFilter ref="A1:L35" xr:uid="{00000000-0009-0000-0100-000002000000}"/>
  <tableColumns count="12">
    <tableColumn id="1" xr3:uid="{00000000-0010-0000-0000-000001000000}" name="Product Name" dataDxfId="41"/>
    <tableColumn id="2" xr3:uid="{00000000-0010-0000-0000-000002000000}" name="SKU" dataDxfId="40"/>
    <tableColumn id="3" xr3:uid="{00000000-0010-0000-0000-000003000000}" name="MAP Price (USD)" dataDxfId="39"/>
    <tableColumn id="4" xr3:uid="{00000000-0010-0000-0000-000004000000}" name="Brand" dataDxfId="38"/>
    <tableColumn id="5" xr3:uid="{00000000-0010-0000-0000-000005000000}" name="Category" dataDxfId="37"/>
    <tableColumn id="6" xr3:uid="{00000000-0010-0000-0000-000006000000}" name="Model Family" dataDxfId="36"/>
    <tableColumn id="7" xr3:uid="{00000000-0010-0000-0000-000007000000}" name="Configuration" dataDxfId="35"/>
    <tableColumn id="8" xr3:uid="{00000000-0010-0000-0000-000008000000}" name="Colour" dataDxfId="34"/>
    <tableColumn id="9" xr3:uid="{00000000-0010-0000-0000-000009000000}" name="Internal ID" dataDxfId="33"/>
    <tableColumn id="10" xr3:uid="{00000000-0010-0000-0000-00000A000000}" name="Status" dataDxfId="32"/>
    <tableColumn id="12" xr3:uid="{00000000-0010-0000-0000-00000C000000}" name="Price Verified On" dataDxfId="31"/>
    <tableColumn id="13" xr3:uid="{00000000-0010-0000-0000-00000D000000}" name="Verification Source" dataDxfId="3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Apple_Product_Summary" displayName="Apple_Product_Summary" ref="A1:L51" totalsRowShown="0" headerRowDxfId="15" dataDxfId="14">
  <autoFilter ref="A1:L51" xr:uid="{00000000-0009-0000-0100-000001000000}"/>
  <tableColumns count="12">
    <tableColumn id="1" xr3:uid="{00000000-0010-0000-0100-000001000000}" name="Product Name" dataDxfId="27"/>
    <tableColumn id="2" xr3:uid="{00000000-0010-0000-0100-000002000000}" name="SKU" dataDxfId="26"/>
    <tableColumn id="3" xr3:uid="{00000000-0010-0000-0100-000003000000}" name="MAP Price (USD)" dataDxfId="25"/>
    <tableColumn id="4" xr3:uid="{00000000-0010-0000-0100-000004000000}" name="Brand" dataDxfId="24"/>
    <tableColumn id="5" xr3:uid="{00000000-0010-0000-0100-000005000000}" name="Category" dataDxfId="23"/>
    <tableColumn id="6" xr3:uid="{00000000-0010-0000-0100-000006000000}" name="Model Family" dataDxfId="22"/>
    <tableColumn id="7" xr3:uid="{00000000-0010-0000-0100-000007000000}" name="Configuration" dataDxfId="21"/>
    <tableColumn id="8" xr3:uid="{00000000-0010-0000-0100-000008000000}" name="Colour" dataDxfId="20"/>
    <tableColumn id="9" xr3:uid="{00000000-0010-0000-0100-000009000000}" name="Internal ID" dataDxfId="19"/>
    <tableColumn id="10" xr3:uid="{00000000-0010-0000-0100-00000A000000}" name="Status" dataDxfId="18"/>
    <tableColumn id="12" xr3:uid="{00000000-0010-0000-0100-00000C000000}" name="Price Verified On" dataDxfId="17"/>
    <tableColumn id="13" xr3:uid="{00000000-0010-0000-0100-00000D000000}" name="Verification Source" dataDxfId="1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amsung_Product_Summary" displayName="Samsung_Product_Summary" ref="A1:L44" totalsRowShown="0" headerRowDxfId="1" dataDxfId="0">
  <autoFilter ref="A1:L44" xr:uid="{00000000-0009-0000-0100-000003000000}"/>
  <tableColumns count="12">
    <tableColumn id="1" xr3:uid="{00000000-0010-0000-0200-000001000000}" name="Product Name" dataDxfId="13"/>
    <tableColumn id="2" xr3:uid="{00000000-0010-0000-0200-000002000000}" name="SKU" dataDxfId="12"/>
    <tableColumn id="3" xr3:uid="{00000000-0010-0000-0200-000003000000}" name="MAP Price (USD)" dataDxfId="11"/>
    <tableColumn id="4" xr3:uid="{00000000-0010-0000-0200-000004000000}" name="Brand" dataDxfId="10"/>
    <tableColumn id="5" xr3:uid="{00000000-0010-0000-0200-000005000000}" name="Category" dataDxfId="9"/>
    <tableColumn id="6" xr3:uid="{00000000-0010-0000-0200-000006000000}" name="Model Family" dataDxfId="8"/>
    <tableColumn id="7" xr3:uid="{00000000-0010-0000-0200-000007000000}" name="Configuration" dataDxfId="7"/>
    <tableColumn id="8" xr3:uid="{00000000-0010-0000-0200-000008000000}" name="Colour" dataDxfId="6"/>
    <tableColumn id="9" xr3:uid="{00000000-0010-0000-0200-000009000000}" name="Internal ID" dataDxfId="5"/>
    <tableColumn id="10" xr3:uid="{00000000-0010-0000-0200-00000A000000}" name="Status" dataDxfId="4"/>
    <tableColumn id="12" xr3:uid="{00000000-0010-0000-0200-00000C000000}" name="Price Verified On" dataDxfId="3"/>
    <tableColumn id="13" xr3:uid="{00000000-0010-0000-0200-00000D000000}" name="Verification Sourc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g.com/us/laptops/lg-15u50u-h.aa57u1-gram-laptop" TargetMode="External"/><Relationship Id="rId18" Type="http://schemas.openxmlformats.org/officeDocument/2006/relationships/hyperlink" Target="https://www.lg.com/us/laptops/lg-16t90sp-k.adb9u1-gram-laptop" TargetMode="External"/><Relationship Id="rId26" Type="http://schemas.openxmlformats.org/officeDocument/2006/relationships/hyperlink" Target="https://www.lg.com/us/laptops/lg-16z90t-g.adb6u1-gram-laptop" TargetMode="External"/><Relationship Id="rId3" Type="http://schemas.openxmlformats.org/officeDocument/2006/relationships/hyperlink" Target="https://www.lg.com/us/laptops/lg-14z90t-g.adb6u1-gram-laptop" TargetMode="External"/><Relationship Id="rId21" Type="http://schemas.openxmlformats.org/officeDocument/2006/relationships/hyperlink" Target="https://www.lg.com/us/laptops/lg-16t95tp-k.ad89u1-gram-laptop" TargetMode="External"/><Relationship Id="rId34" Type="http://schemas.openxmlformats.org/officeDocument/2006/relationships/hyperlink" Target="https://www.lg.com/us/laptops/lg-17z90s-h.aab6u1-gram-laptop" TargetMode="External"/><Relationship Id="rId7" Type="http://schemas.openxmlformats.org/officeDocument/2006/relationships/hyperlink" Target="https://www.lg.com/us/laptops/lg-14z90u-g.au87u1-gram-laptop" TargetMode="External"/><Relationship Id="rId12" Type="http://schemas.openxmlformats.org/officeDocument/2006/relationships/hyperlink" Target="https://www.lg.com/us/laptops/lg-15u50u-h.aa56u1-gram-laptop" TargetMode="External"/><Relationship Id="rId17" Type="http://schemas.openxmlformats.org/officeDocument/2006/relationships/hyperlink" Target="https://www.lg.com/us/laptops/lg-16t90sp-g.aab6u1-gram-laptop" TargetMode="External"/><Relationship Id="rId25" Type="http://schemas.openxmlformats.org/officeDocument/2006/relationships/hyperlink" Target="https://www.lg.com/us/laptops/lg-16z90sp-a.adb9u1-gram-laptop" TargetMode="External"/><Relationship Id="rId33" Type="http://schemas.openxmlformats.org/officeDocument/2006/relationships/hyperlink" Target="https://www.lg.com/us/laptops/lg-17z90s-g.aab6u1-gram-laptop" TargetMode="External"/><Relationship Id="rId2" Type="http://schemas.openxmlformats.org/officeDocument/2006/relationships/hyperlink" Target="https://www.lg.com/us/laptops/lg-14z90t-g.aab2u1-gram-laptop" TargetMode="External"/><Relationship Id="rId16" Type="http://schemas.openxmlformats.org/officeDocument/2006/relationships/hyperlink" Target="https://www.lg.com/us/laptops/lg-15z95u-h.au87u1-gram-laptop" TargetMode="External"/><Relationship Id="rId20" Type="http://schemas.openxmlformats.org/officeDocument/2006/relationships/hyperlink" Target="https://www.lg.com/us/laptops/lg-16t95tp-k.ad87u1-gram-laptop" TargetMode="External"/><Relationship Id="rId29" Type="http://schemas.openxmlformats.org/officeDocument/2006/relationships/hyperlink" Target="https://www.lg.com/us/laptops/lg-16z90ts-g.aug4u1-gram-laptop" TargetMode="External"/><Relationship Id="rId1" Type="http://schemas.openxmlformats.org/officeDocument/2006/relationships/hyperlink" Target="https://www.lg.com/us/laptops/lg-14t90s-g.aab4u1-gram-laptop" TargetMode="External"/><Relationship Id="rId6" Type="http://schemas.openxmlformats.org/officeDocument/2006/relationships/hyperlink" Target="https://www.lg.com/us/laptops/lg-14z90u-g.au85u1-gram-laptop" TargetMode="External"/><Relationship Id="rId11" Type="http://schemas.openxmlformats.org/officeDocument/2006/relationships/hyperlink" Target="https://www.lg.com/us/laptops/lg-15u50t-g.aas3u1-gram-laptop" TargetMode="External"/><Relationship Id="rId24" Type="http://schemas.openxmlformats.org/officeDocument/2006/relationships/hyperlink" Target="https://www.lg.com/us/laptops/lg-16u55u-h.au87u1-gram-laptop" TargetMode="External"/><Relationship Id="rId32" Type="http://schemas.openxmlformats.org/officeDocument/2006/relationships/hyperlink" Target="https://www.lg.com/us/laptops/lg-17z90ru-g.aab2u1-gram-laptop" TargetMode="External"/><Relationship Id="rId5" Type="http://schemas.openxmlformats.org/officeDocument/2006/relationships/hyperlink" Target="https://www.lg.com/us/laptops/lg-14z90u-g.au82u1-gram-laptop" TargetMode="External"/><Relationship Id="rId15" Type="http://schemas.openxmlformats.org/officeDocument/2006/relationships/hyperlink" Target="https://www.lg.com/us/laptops/lg-15z90s-h.aab5u1-gram-laptop" TargetMode="External"/><Relationship Id="rId23" Type="http://schemas.openxmlformats.org/officeDocument/2006/relationships/hyperlink" Target="https://www.lg.com/us/laptops/lg-16u55u-h.au77u3-gram-laptop" TargetMode="External"/><Relationship Id="rId28" Type="http://schemas.openxmlformats.org/officeDocument/2006/relationships/hyperlink" Target="https://www.lg.com/us/laptops/lg-16z90tl-h.aub9u1-gram-laptop" TargetMode="External"/><Relationship Id="rId10" Type="http://schemas.openxmlformats.org/officeDocument/2006/relationships/hyperlink" Target="https://www.lg.com/us/laptops/lg-14z95u-g.au86u1-gram-laptop" TargetMode="External"/><Relationship Id="rId19" Type="http://schemas.openxmlformats.org/officeDocument/2006/relationships/hyperlink" Target="https://www.lg.com/us/laptops/lg-16t95tp-k.aa77u1-gram-laptop" TargetMode="External"/><Relationship Id="rId31" Type="http://schemas.openxmlformats.org/officeDocument/2006/relationships/hyperlink" Target="https://www.lg.com/us/laptops/lg-16z90u-h.au87u1-gram-laptop" TargetMode="External"/><Relationship Id="rId4" Type="http://schemas.openxmlformats.org/officeDocument/2006/relationships/hyperlink" Target="https://www.lg.com/us/laptops/lg-14z90u-g.as63u1-gram-laptop" TargetMode="External"/><Relationship Id="rId9" Type="http://schemas.openxmlformats.org/officeDocument/2006/relationships/hyperlink" Target="https://www.lg.com/us/laptops/lg-14z95u-g.au76u1-gram-laptop" TargetMode="External"/><Relationship Id="rId14" Type="http://schemas.openxmlformats.org/officeDocument/2006/relationships/hyperlink" Target="https://www.lg.com/us/laptops/lg-15u50u-h.ar55u1-gram-laptop" TargetMode="External"/><Relationship Id="rId22" Type="http://schemas.openxmlformats.org/officeDocument/2006/relationships/hyperlink" Target="https://www.lg.com/us/lg-gram-pro-2-in-1-laptops" TargetMode="External"/><Relationship Id="rId27" Type="http://schemas.openxmlformats.org/officeDocument/2006/relationships/hyperlink" Target="https://www.lg.com/us/laptops/lg-16z90tl-h.aub4u1-gram-laptop" TargetMode="External"/><Relationship Id="rId30" Type="http://schemas.openxmlformats.org/officeDocument/2006/relationships/hyperlink" Target="https://www.lg.com/us/laptops/lg-16z90ts-g.aug9u1-gram-laptop" TargetMode="External"/><Relationship Id="rId35" Type="http://schemas.openxmlformats.org/officeDocument/2006/relationships/table" Target="../tables/table1.xml"/><Relationship Id="rId8" Type="http://schemas.openxmlformats.org/officeDocument/2006/relationships/hyperlink" Target="https://www.lg.com/us/laptops/lg-14z95u-g.as67u1-gram-laptop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everymac.com/systems/apple/iphone/specs/apple-iphone-17e-united-states-canada-mexico-japan-a3575-specs.html" TargetMode="External"/><Relationship Id="rId18" Type="http://schemas.openxmlformats.org/officeDocument/2006/relationships/hyperlink" Target="https://prices.appleinsider.com/macbook-air-13-inch-m5" TargetMode="External"/><Relationship Id="rId26" Type="http://schemas.openxmlformats.org/officeDocument/2006/relationships/hyperlink" Target="https://everymac.com/systems/apple/macbook_pro/specs/macbook-pro-m5-max-18-core-cpu-40-core-gpu-16-2026-specs.html" TargetMode="External"/><Relationship Id="rId39" Type="http://schemas.openxmlformats.org/officeDocument/2006/relationships/hyperlink" Target="https://everymac.com/systems/apple/ipad/specs/apple-ipad-pro-m5-13-inch-2025-wifi-only-specs.html" TargetMode="External"/><Relationship Id="rId21" Type="http://schemas.openxmlformats.org/officeDocument/2006/relationships/hyperlink" Target="https://prices.appleinsider.com/macbook-air-15-inch-m5" TargetMode="External"/><Relationship Id="rId34" Type="http://schemas.openxmlformats.org/officeDocument/2006/relationships/hyperlink" Target="https://everymac.com/systems/apple/ipad/specs/apple-ipad-air-m4-11-inch-2026-a3459-wifi-only-specs.html" TargetMode="External"/><Relationship Id="rId42" Type="http://schemas.openxmlformats.org/officeDocument/2006/relationships/hyperlink" Target="https://www.bestbuy.com/product/apple-watch-series-12-gps-46mm-aluminum-case-with-black-sport-band-m-l-black-2026/JJGCQP9FRY" TargetMode="External"/><Relationship Id="rId47" Type="http://schemas.openxmlformats.org/officeDocument/2006/relationships/hyperlink" Target="https://www.bestbuy.com/product/apple-airpods-max-2-usb-c-midnight/JJGCQYH99P/sku/6494847" TargetMode="External"/><Relationship Id="rId50" Type="http://schemas.openxmlformats.org/officeDocument/2006/relationships/hyperlink" Target="https://www.apple.com/shop/buy-tv/apple-tv-4k/128gb" TargetMode="External"/><Relationship Id="rId7" Type="http://schemas.openxmlformats.org/officeDocument/2006/relationships/hyperlink" Target="https://everymac.com/systems/apple/iphone/specs/apple-iphone-air-united-states-canada-mexico-a3260-2025-specs.html" TargetMode="External"/><Relationship Id="rId2" Type="http://schemas.openxmlformats.org/officeDocument/2006/relationships/hyperlink" Target="https://everymac.com/systems/apple/iphone/specs/apple-iphone-18-pro-max-united-states-a3473-specs.html" TargetMode="External"/><Relationship Id="rId16" Type="http://schemas.openxmlformats.org/officeDocument/2006/relationships/hyperlink" Target="https://everymac.com/systems/apple/macbook-neo/specs/macbook-neo-a18-pro-6-core-cpu-5-core-gpu-13-2026-specs.html" TargetMode="External"/><Relationship Id="rId29" Type="http://schemas.openxmlformats.org/officeDocument/2006/relationships/hyperlink" Target="https://everymac.com/systems/apple/imac/specs/imac-m4-10-core-cpu-10-core-gpu-four-ports-24-inch-2024-specs.html" TargetMode="External"/><Relationship Id="rId11" Type="http://schemas.openxmlformats.org/officeDocument/2006/relationships/hyperlink" Target="https://everymac.com/systems/apple/iphone/specs/apple-iphone-17-united-states-a3258-specs.html" TargetMode="External"/><Relationship Id="rId24" Type="http://schemas.openxmlformats.org/officeDocument/2006/relationships/hyperlink" Target="https://everymac.com/systems/apple/macbook_pro/specs/macbook-pro-m5-pro-15-core-cpu-16-core-gpu-14-2026-specs.html" TargetMode="External"/><Relationship Id="rId32" Type="http://schemas.openxmlformats.org/officeDocument/2006/relationships/hyperlink" Target="https://everymac.com/systems/apple/ipad/specs/apple-ipad-a16-11-inch-11th-gen-2025-a3354-wi-fi-only-specs.html" TargetMode="External"/><Relationship Id="rId37" Type="http://schemas.openxmlformats.org/officeDocument/2006/relationships/hyperlink" Target="https://everymac.com/systems/apple/ipad/specs/apple-ipad-pro-m5-11-inch-2025-wifi-only-specs.html" TargetMode="External"/><Relationship Id="rId40" Type="http://schemas.openxmlformats.org/officeDocument/2006/relationships/hyperlink" Target="https://everymac.com/systems/apple/ipad/specs/apple-ipad-pro-m5-13-inch-2025-wifi-only-specs.html" TargetMode="External"/><Relationship Id="rId45" Type="http://schemas.openxmlformats.org/officeDocument/2006/relationships/hyperlink" Target="https://www.bestbuy.com/product/apple-airpods-pro-3-wireless-active-noise-cancelling-earbuds-with-heart-rate-sensing-feature-white/JJGCQLYK5F/sku/6376563" TargetMode="External"/><Relationship Id="rId5" Type="http://schemas.openxmlformats.org/officeDocument/2006/relationships/hyperlink" Target="https://everymac.com/systems/apple/iphone/specs/apple-iphone-18-pro-max-united-states-a3473-specs.html" TargetMode="External"/><Relationship Id="rId15" Type="http://schemas.openxmlformats.org/officeDocument/2006/relationships/hyperlink" Target="https://everymac.com/systems/apple/macbook-neo/specs/macbook-neo-a18-pro-6-core-cpu-5-core-gpu-13-2026-specs.html" TargetMode="External"/><Relationship Id="rId23" Type="http://schemas.openxmlformats.org/officeDocument/2006/relationships/hyperlink" Target="https://everymac.com/systems/apple/macbook_pro/specs/macbook-pro-m5-10-core-cpu-10-core-gpu-14-2025-specs.html" TargetMode="External"/><Relationship Id="rId28" Type="http://schemas.openxmlformats.org/officeDocument/2006/relationships/hyperlink" Target="https://everymac.com/systems/apple/mac_mini/specs/mac-mini-m6-12-core-cpu-12-core-gpu-2026-specs.html" TargetMode="External"/><Relationship Id="rId36" Type="http://schemas.openxmlformats.org/officeDocument/2006/relationships/hyperlink" Target="https://everymac.com/systems/apple/ipad/specs/apple-ipad-air-m4-13-inch-2026-a3461-wifi-only-specs.html" TargetMode="External"/><Relationship Id="rId49" Type="http://schemas.openxmlformats.org/officeDocument/2006/relationships/hyperlink" Target="https://www.bestbuy.com/product/apple-pencil-pro-white/JJGCQ35H4Q" TargetMode="External"/><Relationship Id="rId10" Type="http://schemas.openxmlformats.org/officeDocument/2006/relationships/hyperlink" Target="https://everymac.com/systems/apple/iphone/specs/apple-iphone-17-united-states-a3258-specs.html" TargetMode="External"/><Relationship Id="rId19" Type="http://schemas.openxmlformats.org/officeDocument/2006/relationships/hyperlink" Target="https://prices.appleinsider.com/macbook-air-13-inch-m5" TargetMode="External"/><Relationship Id="rId31" Type="http://schemas.openxmlformats.org/officeDocument/2006/relationships/hyperlink" Target="https://everymac.com/systems/apple/ipad/specs/apple-ipad-a16-11-inch-11th-gen-2025-a3354-wi-fi-only-specs.html" TargetMode="External"/><Relationship Id="rId44" Type="http://schemas.openxmlformats.org/officeDocument/2006/relationships/hyperlink" Target="https://www.bestbuy.com/product/apple-watch-se-3-gps-40mm-midnight-aluminum-case-with-midnight-sport-band-s-m-midnight-2025/JJGCQGVKGZ" TargetMode="External"/><Relationship Id="rId4" Type="http://schemas.openxmlformats.org/officeDocument/2006/relationships/hyperlink" Target="https://everymac.com/systems/apple/iphone/specs/apple-iphone-18-pro-max-united-states-a3473-specs.html" TargetMode="External"/><Relationship Id="rId9" Type="http://schemas.openxmlformats.org/officeDocument/2006/relationships/hyperlink" Target="https://everymac.com/systems/apple/iphone/specs/apple-iphone-17-united-states-a3258-specs.html" TargetMode="External"/><Relationship Id="rId14" Type="http://schemas.openxmlformats.org/officeDocument/2006/relationships/hyperlink" Target="https://everymac.com/systems/apple/macbook-neo/specs/macbook-neo-a18-pro-6-core-cpu-5-core-gpu-13-2026-specs.html" TargetMode="External"/><Relationship Id="rId22" Type="http://schemas.openxmlformats.org/officeDocument/2006/relationships/hyperlink" Target="https://everymac.com/systems/apple/macbook_pro/specs/macbook-pro-m5-10-core-cpu-10-core-gpu-14-2025-specs.html" TargetMode="External"/><Relationship Id="rId27" Type="http://schemas.openxmlformats.org/officeDocument/2006/relationships/hyperlink" Target="https://everymac.com/systems/apple/mac_mini/specs/mac-mini-m6-12-core-cpu-12-core-gpu-2026-specs.html" TargetMode="External"/><Relationship Id="rId30" Type="http://schemas.openxmlformats.org/officeDocument/2006/relationships/hyperlink" Target="https://everymac.com/systems/apple/imac/specs/imac-m4-10-core-cpu-10-core-gpu-four-ports-24-inch-2024-specs.html" TargetMode="External"/><Relationship Id="rId35" Type="http://schemas.openxmlformats.org/officeDocument/2006/relationships/hyperlink" Target="https://everymac.com/systems/apple/ipad/specs/apple-ipad-air-m4-11-inch-2026-a3459-wifi-only-specs.html" TargetMode="External"/><Relationship Id="rId43" Type="http://schemas.openxmlformats.org/officeDocument/2006/relationships/hyperlink" Target="https://www.bestbuy.com/product/apple-watch-ultra-4-gps-cellular-49mm-titanium-case-with-translucent-black-ocean-band-black-2026/JJGCQPR88C/sku/6597854" TargetMode="External"/><Relationship Id="rId48" Type="http://schemas.openxmlformats.org/officeDocument/2006/relationships/hyperlink" Target="https://www.bestbuy.com/product/apple-airtag-4-pack-2nd-generation-2026-white/JJGCQLTTF3" TargetMode="External"/><Relationship Id="rId8" Type="http://schemas.openxmlformats.org/officeDocument/2006/relationships/hyperlink" Target="https://everymac.com/systems/apple/iphone/specs/apple-iphone-air-united-states-canada-mexico-a3260-2025-specs.html" TargetMode="External"/><Relationship Id="rId51" Type="http://schemas.openxmlformats.org/officeDocument/2006/relationships/table" Target="../tables/table2.xml"/><Relationship Id="rId3" Type="http://schemas.openxmlformats.org/officeDocument/2006/relationships/hyperlink" Target="https://everymac.com/systems/apple/iphone/specs/apple-iphone-18-pro-max-united-states-a3473-specs.html" TargetMode="External"/><Relationship Id="rId12" Type="http://schemas.openxmlformats.org/officeDocument/2006/relationships/hyperlink" Target="https://everymac.com/systems/apple/iphone/specs/apple-iphone-17e-united-states-canada-mexico-japan-a3575-specs.html" TargetMode="External"/><Relationship Id="rId17" Type="http://schemas.openxmlformats.org/officeDocument/2006/relationships/hyperlink" Target="https://prices.appleinsider.com/macbook-air-13-inch-m5" TargetMode="External"/><Relationship Id="rId25" Type="http://schemas.openxmlformats.org/officeDocument/2006/relationships/hyperlink" Target="https://everymac.com/systems/apple/macbook_pro/specs/macbook-pro-m5-pro-18-core-cpu-20-core-gpu-16-2026-specs.html" TargetMode="External"/><Relationship Id="rId33" Type="http://schemas.openxmlformats.org/officeDocument/2006/relationships/hyperlink" Target="https://everymac.com/systems/apple/ipad/specs/apple-ipad-mini-a17-pro-7th-gen-2024-a2993-wifi-only-specs.html" TargetMode="External"/><Relationship Id="rId38" Type="http://schemas.openxmlformats.org/officeDocument/2006/relationships/hyperlink" Target="https://everymac.com/systems/apple/ipad/specs/apple-ipad-pro-m5-11-inch-2025-wifi-only-specs.html" TargetMode="External"/><Relationship Id="rId46" Type="http://schemas.openxmlformats.org/officeDocument/2006/relationships/hyperlink" Target="https://www.bestbuy.com/product/apple-airpods-4-with-active-noise-cancellation-white/JJGCQ832YX" TargetMode="External"/><Relationship Id="rId20" Type="http://schemas.openxmlformats.org/officeDocument/2006/relationships/hyperlink" Target="https://prices.appleinsider.com/macbook-air-15-inch-m5" TargetMode="External"/><Relationship Id="rId41" Type="http://schemas.openxmlformats.org/officeDocument/2006/relationships/hyperlink" Target="https://www.bestbuy.com/product/apple-watch-series-12-gps-42mm-aluminum-case-with-black-sport-band-s-m-black-2026/JJGCQP9FPT/sku/6572728" TargetMode="External"/><Relationship Id="rId1" Type="http://schemas.openxmlformats.org/officeDocument/2006/relationships/hyperlink" Target="https://everymac.com/systems/apple/iphone/specs/apple-iphone-18-pro-max-united-states-a3473-specs.html" TargetMode="External"/><Relationship Id="rId6" Type="http://schemas.openxmlformats.org/officeDocument/2006/relationships/hyperlink" Target="https://everymac.com/systems/apple/iphone/specs/apple-iphone-air-united-states-canada-mexico-a3260-2025-specs.html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amsung.com/us/smartphones/galaxy-z-fold8-ultra/buy/galaxy-z-fold8-ultra-256gb-unlocked-sku-sm-f976uzkaxaa/" TargetMode="External"/><Relationship Id="rId18" Type="http://schemas.openxmlformats.org/officeDocument/2006/relationships/hyperlink" Target="https://www.samsung.com/us/smartphones/galaxy-z-flip8/buy/galaxy-z-flip8-256gb-unlocked-sku-sm-f776uliaxaa/" TargetMode="External"/><Relationship Id="rId26" Type="http://schemas.openxmlformats.org/officeDocument/2006/relationships/hyperlink" Target="https://www.samsung.com/us/computers/galaxy-book/galaxy-book6-series/buy/galaxy-book6-pro-14-intel-core-ultra-7-512gb-gray-sku-np940xjg-kg2us/" TargetMode="External"/><Relationship Id="rId39" Type="http://schemas.openxmlformats.org/officeDocument/2006/relationships/hyperlink" Target="https://www.bestbuy.com/product/samsung-65-class-ls03hw-series-the-frame-pro-4k-uhd-samsungvision-ai-smart-tizen-tv-2026/JJGRF3QH8H/sku/6671651" TargetMode="External"/><Relationship Id="rId21" Type="http://schemas.openxmlformats.org/officeDocument/2006/relationships/hyperlink" Target="https://www.samsung.com/us/tablets/galaxy-tab-s11/buy/galaxy-tab-s11-ultra-256gb-silver-wi-fi-sku-sm-x930nzsaxar/" TargetMode="External"/><Relationship Id="rId34" Type="http://schemas.openxmlformats.org/officeDocument/2006/relationships/hyperlink" Target="https://www.samsung.com/us/audio-sound/galaxy-buds4/buy/galaxy-buds4-black-sku-sm-r540nzkaxar/" TargetMode="External"/><Relationship Id="rId42" Type="http://schemas.openxmlformats.org/officeDocument/2006/relationships/hyperlink" Target="https://www.samsung.com/us/monitors/gaming/27-inch-odyssey-g8-g80hf-5k-gaming-monitor-sku-ls27hg802efxza/" TargetMode="External"/><Relationship Id="rId7" Type="http://schemas.openxmlformats.org/officeDocument/2006/relationships/hyperlink" Target="https://www.samsung.com/us/smartphones/galaxy-s26/buy/galaxy-s26-256gb-unlocked-sku-sm-s942uzkexaa/" TargetMode="External"/><Relationship Id="rId2" Type="http://schemas.openxmlformats.org/officeDocument/2006/relationships/hyperlink" Target="https://www.samsung.com/us/smartphones/galaxy-s26-ultra/buy/galaxy-s26-ultra-256gb-unlocked-sku-sm-s948uzsaxaa/" TargetMode="External"/><Relationship Id="rId16" Type="http://schemas.openxmlformats.org/officeDocument/2006/relationships/hyperlink" Target="https://www.samsung.com/us/smartphones/galaxy-z-fold8/buy/galaxy-z-fold8-256gb-unlocked-sku-sm-f971uzkaxaa/" TargetMode="External"/><Relationship Id="rId20" Type="http://schemas.openxmlformats.org/officeDocument/2006/relationships/hyperlink" Target="https://www.samsung.com/us/tablets/galaxy-tab-s11/buy/galaxy-tab-s11-ultra-256gb-gray-wi-fi-sku-sm-x930nzaaxar/" TargetMode="External"/><Relationship Id="rId29" Type="http://schemas.openxmlformats.org/officeDocument/2006/relationships/hyperlink" Target="https://www.samsung.com/us/watches/galaxy-watch9/buy/galaxy-watch9-44mm-graphite-bluetooth-sku-sm-l350nzkaxaa/" TargetMode="External"/><Relationship Id="rId41" Type="http://schemas.openxmlformats.org/officeDocument/2006/relationships/hyperlink" Target="https://www.samsung.com/us/monitors/gaming/27-inch-odyssey-oled-g8-g80sh-4k-gaming-monitor-sku-ls27hg802snxza/" TargetMode="External"/><Relationship Id="rId1" Type="http://schemas.openxmlformats.org/officeDocument/2006/relationships/hyperlink" Target="https://www.samsung.com/us/smartphones/galaxy-s26-ultra/buy/galaxy-s26-ultra-256gb-unlocked-sku-sm-s948uzkaxaa/" TargetMode="External"/><Relationship Id="rId6" Type="http://schemas.openxmlformats.org/officeDocument/2006/relationships/hyperlink" Target="https://www.samsung.com/us/smartphones/galaxy-s26-plus/buy/galaxy-s26-plus-512gb-unlocked-sku-sm-s947uzkexaa/" TargetMode="External"/><Relationship Id="rId11" Type="http://schemas.openxmlformats.org/officeDocument/2006/relationships/hyperlink" Target="https://www.bestbuy.com/product/samsung-galaxy-a57-5g-128gb-unlocked-awesome-icy-blue/JJGRF3H8FT/sku/6678049" TargetMode="External"/><Relationship Id="rId24" Type="http://schemas.openxmlformats.org/officeDocument/2006/relationships/hyperlink" Target="https://www.bestbuy.com/product/samsung-galaxy-tab-s11-11-128gb-wi-fi-with-s-pen-gray/JJGRF39WLC/sku/6641206" TargetMode="External"/><Relationship Id="rId32" Type="http://schemas.openxmlformats.org/officeDocument/2006/relationships/hyperlink" Target="https://www.bestbuy.com/product/samsung-galaxy-buds4-pro-wireless-earbud-headphones-black/JJGRF3Q958" TargetMode="External"/><Relationship Id="rId37" Type="http://schemas.openxmlformats.org/officeDocument/2006/relationships/hyperlink" Target="https://www.bestbuy.com/product/samsung-65-class-s95h-oled-4k-glare-free-tv-with-samsungvisionai-2026/JJGRF3Q3GR" TargetMode="External"/><Relationship Id="rId40" Type="http://schemas.openxmlformats.org/officeDocument/2006/relationships/hyperlink" Target="https://www.bestbuy.com/product/samsung-q-series-soundbar-hw-q990h-za-11-1-4-ch-subwoofer-with-rear-speaker-2026-titan-black/JJGRF3Q87K" TargetMode="External"/><Relationship Id="rId5" Type="http://schemas.openxmlformats.org/officeDocument/2006/relationships/hyperlink" Target="https://www.samsung.com/us/smartphones/galaxy-s26-plus/buy/galaxy-s26-plus-256gb-unlocked-sku-sm-s947uzkaxaa/" TargetMode="External"/><Relationship Id="rId15" Type="http://schemas.openxmlformats.org/officeDocument/2006/relationships/hyperlink" Target="https://www.samsung.com/us/smartphones/galaxy-z-fold8-ultra/buy/galaxy-z-fold8-ultra-1tb-unlocked-sku-sm-f976udgfxaa/" TargetMode="External"/><Relationship Id="rId23" Type="http://schemas.openxmlformats.org/officeDocument/2006/relationships/hyperlink" Target="https://www.samsung.com/us/tablets/galaxy-tab-s11/buy/galaxy-tab-s11-ultra-1tb-gray-wi-fi-sku-sm-x930nzaixar/" TargetMode="External"/><Relationship Id="rId28" Type="http://schemas.openxmlformats.org/officeDocument/2006/relationships/hyperlink" Target="https://www.samsung.com/us/computers/galaxy-book/galaxy-book6-series/buy/galaxy-book6-ultra-16-intel-core-ultra-7-1tb-gray-sku-np960ujh-xg2us/" TargetMode="External"/><Relationship Id="rId36" Type="http://schemas.openxmlformats.org/officeDocument/2006/relationships/hyperlink" Target="https://www.bestbuy.com/product/samsung-65-class-s90h-oled-4k-glare-free-tv-with-samsungvisionai-2026/JJGRF3QG5V" TargetMode="External"/><Relationship Id="rId10" Type="http://schemas.openxmlformats.org/officeDocument/2006/relationships/hyperlink" Target="https://www.samsung.com/us/smartphones/galaxy-s26-fe/buy/galaxy-s26-fe-256gb-unlocked-sku-sm-s741uzkexaa/" TargetMode="External"/><Relationship Id="rId19" Type="http://schemas.openxmlformats.org/officeDocument/2006/relationships/hyperlink" Target="https://www.samsung.com/us/smartphones/galaxy-z-flip8/buy/galaxy-z-flip8-256gb-unlocked-sku-sm-f776ulgaxaa/" TargetMode="External"/><Relationship Id="rId31" Type="http://schemas.openxmlformats.org/officeDocument/2006/relationships/hyperlink" Target="https://www.bestbuy.com/product/samsung-galaxy-watch-ultra2-titanium-smartwatch-47mm-lte-titanium-silver-2026/JJGRF3FXV3" TargetMode="External"/><Relationship Id="rId44" Type="http://schemas.openxmlformats.org/officeDocument/2006/relationships/table" Target="../tables/table3.xml"/><Relationship Id="rId4" Type="http://schemas.openxmlformats.org/officeDocument/2006/relationships/hyperlink" Target="https://www.samsung.com/us/smartphones/galaxy-s26-ultra/buy/galaxy-s26-ultra-512gb-unlocked-sku-sm-s948uzwexaa/" TargetMode="External"/><Relationship Id="rId9" Type="http://schemas.openxmlformats.org/officeDocument/2006/relationships/hyperlink" Target="https://www.samsung.com/us/smartphones/galaxy-s26-fe/buy/galaxy-s26-fe-128gb-unlocked-sku-sm-s741uzkaxaa/" TargetMode="External"/><Relationship Id="rId14" Type="http://schemas.openxmlformats.org/officeDocument/2006/relationships/hyperlink" Target="https://www.samsung.com/us/smartphones/galaxy-z-fold8-ultra/buy/galaxy-z-fold8-ultra-512gb-unlocked-sku-sm-f976uzkexaa/" TargetMode="External"/><Relationship Id="rId22" Type="http://schemas.openxmlformats.org/officeDocument/2006/relationships/hyperlink" Target="https://www.samsung.com/us/tablets/galaxy-tab-s11/buy/galaxy-tab-s11-ultra-512gb-gray-wi-fi-sku-sm-x930nzaexar/" TargetMode="External"/><Relationship Id="rId27" Type="http://schemas.openxmlformats.org/officeDocument/2006/relationships/hyperlink" Target="https://www.bestbuy.com/product/samsung-galaxy-book6-pro-copilot-pc-16-3k-amoled-touch-screen-laptop-intel-core-ultra-7-16gb-memory-1tb-ssd-gray/JJGRF3H755" TargetMode="External"/><Relationship Id="rId30" Type="http://schemas.openxmlformats.org/officeDocument/2006/relationships/hyperlink" Target="https://www.bestbuy.com/product/samsung-galaxy-watch-ultra2-titanium-smartwatch-47mm-lte-titanium-gray-2026/JJGRF3F3JT" TargetMode="External"/><Relationship Id="rId35" Type="http://schemas.openxmlformats.org/officeDocument/2006/relationships/hyperlink" Target="https://www.bestbuy.com/product/samsung-65-class-qn80h-series-neo-qled-mini-led-4k-uhd-samsungvision-ai-smart-tizen-tv-2026/JJGRF3QXKJ" TargetMode="External"/><Relationship Id="rId43" Type="http://schemas.openxmlformats.org/officeDocument/2006/relationships/hyperlink" Target="https://www.bestbuy.com/product/samsung-27-odyssey-oled-g8-g81sf-4k-uhd-240hz-0-03ms-amd-freesync-premium-pro-glare-free-hdr-400-gaming-monitor-silver/J3ZYG2FHXG" TargetMode="External"/><Relationship Id="rId8" Type="http://schemas.openxmlformats.org/officeDocument/2006/relationships/hyperlink" Target="https://www.samsung.com/us/smartphones/galaxy-s26/buy/galaxy-s26-256gb-unlocked-sku-sm-s942ulbexaa/" TargetMode="External"/><Relationship Id="rId3" Type="http://schemas.openxmlformats.org/officeDocument/2006/relationships/hyperlink" Target="https://www.samsung.com/us/smartphones/galaxy-s26-ultra/buy/galaxy-s26-ultra-512gb-unlocked-sku-sm-s948uzkexaa/" TargetMode="External"/><Relationship Id="rId12" Type="http://schemas.openxmlformats.org/officeDocument/2006/relationships/hyperlink" Target="https://www.samsung.com/us/smartphones/galaxy-a37-5g/buy/galaxy-a37-5g-128gb-unlocked-sku-sm-a376uzaaxaa/" TargetMode="External"/><Relationship Id="rId17" Type="http://schemas.openxmlformats.org/officeDocument/2006/relationships/hyperlink" Target="https://www.samsung.com/us/smartphones/galaxy-z-fold8/buy/galaxy-z-fold8-256gb-unlocked-sku-sm-f971ulvaxaa/" TargetMode="External"/><Relationship Id="rId25" Type="http://schemas.openxmlformats.org/officeDocument/2006/relationships/hyperlink" Target="https://www.samsung.com/us/tablets/galaxy-tab-s11/buy/galaxy-tab-s11-128gb-silver-wi-fi-sku-sm-x730nzsaxar/" TargetMode="External"/><Relationship Id="rId33" Type="http://schemas.openxmlformats.org/officeDocument/2006/relationships/hyperlink" Target="https://www.samsung.com/us/audio-sound/galaxy-buds4-pro/buy/galaxy-buds4-pro-white-sku-sm-r640nzwaxar/" TargetMode="External"/><Relationship Id="rId38" Type="http://schemas.openxmlformats.org/officeDocument/2006/relationships/hyperlink" Target="https://www.bestbuy.com/product/samsung-65-class-ls03h-series-the-frame-4k-uhd-samsungvision-ai-smart-tizen-tv-2026/JJGRF3HJXQ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crocenter.com/" TargetMode="External"/><Relationship Id="rId13" Type="http://schemas.openxmlformats.org/officeDocument/2006/relationships/hyperlink" Target="https://www.officedepot.com/" TargetMode="External"/><Relationship Id="rId3" Type="http://schemas.openxmlformats.org/officeDocument/2006/relationships/hyperlink" Target="https://www.bestbuy.com/" TargetMode="External"/><Relationship Id="rId7" Type="http://schemas.openxmlformats.org/officeDocument/2006/relationships/hyperlink" Target="https://www.newegg.com/" TargetMode="External"/><Relationship Id="rId12" Type="http://schemas.openxmlformats.org/officeDocument/2006/relationships/hyperlink" Target="https://www.staples.com/" TargetMode="External"/><Relationship Id="rId2" Type="http://schemas.openxmlformats.org/officeDocument/2006/relationships/hyperlink" Target="https://www.amazon.com/" TargetMode="External"/><Relationship Id="rId1" Type="http://schemas.openxmlformats.org/officeDocument/2006/relationships/hyperlink" Target="https://www.lg.com/us/laptops" TargetMode="External"/><Relationship Id="rId6" Type="http://schemas.openxmlformats.org/officeDocument/2006/relationships/hyperlink" Target="https://www.bhphotovideo.com/" TargetMode="External"/><Relationship Id="rId11" Type="http://schemas.openxmlformats.org/officeDocument/2006/relationships/hyperlink" Target="https://www.samsclub.com/" TargetMode="External"/><Relationship Id="rId5" Type="http://schemas.openxmlformats.org/officeDocument/2006/relationships/hyperlink" Target="https://www.costco.com/" TargetMode="External"/><Relationship Id="rId15" Type="http://schemas.openxmlformats.org/officeDocument/2006/relationships/hyperlink" Target="https://shopping.google.com/" TargetMode="External"/><Relationship Id="rId10" Type="http://schemas.openxmlformats.org/officeDocument/2006/relationships/hyperlink" Target="https://www.abt.com/" TargetMode="External"/><Relationship Id="rId4" Type="http://schemas.openxmlformats.org/officeDocument/2006/relationships/hyperlink" Target="https://www.walmart.com/" TargetMode="External"/><Relationship Id="rId9" Type="http://schemas.openxmlformats.org/officeDocument/2006/relationships/hyperlink" Target="https://www.adorama.com/" TargetMode="External"/><Relationship Id="rId14" Type="http://schemas.openxmlformats.org/officeDocument/2006/relationships/hyperlink" Target="https://www.ebay.com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dorama.com/" TargetMode="External"/><Relationship Id="rId13" Type="http://schemas.openxmlformats.org/officeDocument/2006/relationships/hyperlink" Target="https://www.staples.com/" TargetMode="External"/><Relationship Id="rId18" Type="http://schemas.openxmlformats.org/officeDocument/2006/relationships/hyperlink" Target="https://www.ebay.com/" TargetMode="External"/><Relationship Id="rId3" Type="http://schemas.openxmlformats.org/officeDocument/2006/relationships/hyperlink" Target="https://www.bestbuy.com/" TargetMode="External"/><Relationship Id="rId7" Type="http://schemas.openxmlformats.org/officeDocument/2006/relationships/hyperlink" Target="https://www.bhphotovideo.com/" TargetMode="External"/><Relationship Id="rId12" Type="http://schemas.openxmlformats.org/officeDocument/2006/relationships/hyperlink" Target="https://www.abt.com/" TargetMode="External"/><Relationship Id="rId17" Type="http://schemas.openxmlformats.org/officeDocument/2006/relationships/hyperlink" Target="https://www.newegg.com/" TargetMode="External"/><Relationship Id="rId2" Type="http://schemas.openxmlformats.org/officeDocument/2006/relationships/hyperlink" Target="https://www.amazon.com/" TargetMode="External"/><Relationship Id="rId16" Type="http://schemas.openxmlformats.org/officeDocument/2006/relationships/hyperlink" Target="https://www.t-mobile.com/" TargetMode="External"/><Relationship Id="rId1" Type="http://schemas.openxmlformats.org/officeDocument/2006/relationships/hyperlink" Target="https://www.apple.com/shop" TargetMode="External"/><Relationship Id="rId6" Type="http://schemas.openxmlformats.org/officeDocument/2006/relationships/hyperlink" Target="https://www.costco.com/" TargetMode="External"/><Relationship Id="rId11" Type="http://schemas.openxmlformats.org/officeDocument/2006/relationships/hyperlink" Target="https://www.expercom.com/" TargetMode="External"/><Relationship Id="rId5" Type="http://schemas.openxmlformats.org/officeDocument/2006/relationships/hyperlink" Target="https://www.target.com/" TargetMode="External"/><Relationship Id="rId15" Type="http://schemas.openxmlformats.org/officeDocument/2006/relationships/hyperlink" Target="https://www.att.com/" TargetMode="External"/><Relationship Id="rId10" Type="http://schemas.openxmlformats.org/officeDocument/2006/relationships/hyperlink" Target="https://www.samsclub.com/" TargetMode="External"/><Relationship Id="rId19" Type="http://schemas.openxmlformats.org/officeDocument/2006/relationships/hyperlink" Target="https://shopping.google.com/" TargetMode="External"/><Relationship Id="rId4" Type="http://schemas.openxmlformats.org/officeDocument/2006/relationships/hyperlink" Target="https://www.walmart.com/" TargetMode="External"/><Relationship Id="rId9" Type="http://schemas.openxmlformats.org/officeDocument/2006/relationships/hyperlink" Target="https://www.microcenter.com/" TargetMode="External"/><Relationship Id="rId14" Type="http://schemas.openxmlformats.org/officeDocument/2006/relationships/hyperlink" Target="https://www.verizon.com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hphotovideo.com/" TargetMode="External"/><Relationship Id="rId13" Type="http://schemas.openxmlformats.org/officeDocument/2006/relationships/hyperlink" Target="https://www.newegg.com/" TargetMode="External"/><Relationship Id="rId18" Type="http://schemas.openxmlformats.org/officeDocument/2006/relationships/hyperlink" Target="https://www.staples.com/" TargetMode="External"/><Relationship Id="rId3" Type="http://schemas.openxmlformats.org/officeDocument/2006/relationships/hyperlink" Target="https://www.bestbuy.com/" TargetMode="External"/><Relationship Id="rId7" Type="http://schemas.openxmlformats.org/officeDocument/2006/relationships/hyperlink" Target="https://www.samsclub.com/" TargetMode="External"/><Relationship Id="rId12" Type="http://schemas.openxmlformats.org/officeDocument/2006/relationships/hyperlink" Target="https://www.microcenter.com/" TargetMode="External"/><Relationship Id="rId17" Type="http://schemas.openxmlformats.org/officeDocument/2006/relationships/hyperlink" Target="https://www.t-mobile.com/" TargetMode="External"/><Relationship Id="rId2" Type="http://schemas.openxmlformats.org/officeDocument/2006/relationships/hyperlink" Target="https://www.amazon.com/" TargetMode="External"/><Relationship Id="rId16" Type="http://schemas.openxmlformats.org/officeDocument/2006/relationships/hyperlink" Target="https://www.att.com/" TargetMode="External"/><Relationship Id="rId20" Type="http://schemas.openxmlformats.org/officeDocument/2006/relationships/hyperlink" Target="https://shopping.google.com/" TargetMode="External"/><Relationship Id="rId1" Type="http://schemas.openxmlformats.org/officeDocument/2006/relationships/hyperlink" Target="https://www.samsung.com/us" TargetMode="External"/><Relationship Id="rId6" Type="http://schemas.openxmlformats.org/officeDocument/2006/relationships/hyperlink" Target="https://www.costco.com/" TargetMode="External"/><Relationship Id="rId11" Type="http://schemas.openxmlformats.org/officeDocument/2006/relationships/hyperlink" Target="https://www.pcrichard.com/" TargetMode="External"/><Relationship Id="rId5" Type="http://schemas.openxmlformats.org/officeDocument/2006/relationships/hyperlink" Target="https://www.target.com/" TargetMode="External"/><Relationship Id="rId15" Type="http://schemas.openxmlformats.org/officeDocument/2006/relationships/hyperlink" Target="https://www.verizon.com/" TargetMode="External"/><Relationship Id="rId10" Type="http://schemas.openxmlformats.org/officeDocument/2006/relationships/hyperlink" Target="https://www.abt.com/" TargetMode="External"/><Relationship Id="rId19" Type="http://schemas.openxmlformats.org/officeDocument/2006/relationships/hyperlink" Target="https://www.ebay.com/" TargetMode="External"/><Relationship Id="rId4" Type="http://schemas.openxmlformats.org/officeDocument/2006/relationships/hyperlink" Target="https://www.walmart.com/" TargetMode="External"/><Relationship Id="rId9" Type="http://schemas.openxmlformats.org/officeDocument/2006/relationships/hyperlink" Target="https://www.crutchfield.com/" TargetMode="External"/><Relationship Id="rId14" Type="http://schemas.openxmlformats.org/officeDocument/2006/relationships/hyperlink" Target="https://www.homedepo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5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 x14ac:dyDescent="0.3"/>
  <cols>
    <col min="1" max="1" width="52" style="1" customWidth="1"/>
    <col min="2" max="2" width="18" style="1" customWidth="1"/>
    <col min="3" max="3" width="16" style="1" customWidth="1"/>
    <col min="4" max="4" width="10" style="1" customWidth="1"/>
    <col min="5" max="5" width="20" style="1" customWidth="1"/>
    <col min="6" max="6" width="24" style="1" customWidth="1"/>
    <col min="7" max="7" width="51.6640625" style="1" customWidth="1"/>
    <col min="8" max="8" width="16" style="1" customWidth="1"/>
    <col min="9" max="9" width="12" style="1" customWidth="1"/>
    <col min="10" max="10" width="9" style="1" customWidth="1"/>
    <col min="11" max="11" width="16" style="1" customWidth="1"/>
    <col min="12" max="12" width="60" style="1" customWidth="1"/>
    <col min="13" max="16384" width="8.6640625" style="1"/>
  </cols>
  <sheetData>
    <row r="1" spans="1:12" ht="30" customHeight="1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</row>
    <row r="2" spans="1:12" x14ac:dyDescent="0.3">
      <c r="A2" s="3" t="s">
        <v>15</v>
      </c>
      <c r="B2" s="3" t="s">
        <v>16</v>
      </c>
      <c r="C2" s="4">
        <v>1299.99</v>
      </c>
      <c r="D2" s="3" t="s">
        <v>0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5" t="s">
        <v>24</v>
      </c>
    </row>
    <row r="3" spans="1:12" x14ac:dyDescent="0.3">
      <c r="A3" s="3" t="s">
        <v>25</v>
      </c>
      <c r="B3" s="3" t="s">
        <v>26</v>
      </c>
      <c r="C3" s="4">
        <v>1249.99</v>
      </c>
      <c r="D3" s="3" t="s">
        <v>0</v>
      </c>
      <c r="E3" s="3" t="s">
        <v>27</v>
      </c>
      <c r="F3" s="3" t="s">
        <v>28</v>
      </c>
      <c r="G3" s="3" t="s">
        <v>29</v>
      </c>
      <c r="H3" s="3" t="s">
        <v>20</v>
      </c>
      <c r="I3" s="3" t="s">
        <v>30</v>
      </c>
      <c r="J3" s="3" t="s">
        <v>22</v>
      </c>
      <c r="K3" s="3" t="s">
        <v>23</v>
      </c>
      <c r="L3" s="5" t="s">
        <v>31</v>
      </c>
    </row>
    <row r="4" spans="1:12" x14ac:dyDescent="0.3">
      <c r="A4" s="3" t="s">
        <v>32</v>
      </c>
      <c r="B4" s="3" t="s">
        <v>33</v>
      </c>
      <c r="C4" s="4">
        <v>2099.9899999999998</v>
      </c>
      <c r="D4" s="3" t="s">
        <v>0</v>
      </c>
      <c r="E4" s="3" t="s">
        <v>27</v>
      </c>
      <c r="F4" s="3" t="s">
        <v>28</v>
      </c>
      <c r="G4" s="3" t="s">
        <v>34</v>
      </c>
      <c r="H4" s="3" t="s">
        <v>20</v>
      </c>
      <c r="I4" s="3" t="s">
        <v>35</v>
      </c>
      <c r="J4" s="3" t="s">
        <v>22</v>
      </c>
      <c r="K4" s="3" t="s">
        <v>23</v>
      </c>
      <c r="L4" s="5" t="s">
        <v>36</v>
      </c>
    </row>
    <row r="5" spans="1:12" x14ac:dyDescent="0.3">
      <c r="A5" s="3" t="s">
        <v>37</v>
      </c>
      <c r="B5" s="3" t="s">
        <v>38</v>
      </c>
      <c r="C5" s="4">
        <v>2199.9899999999998</v>
      </c>
      <c r="D5" s="3" t="s">
        <v>0</v>
      </c>
      <c r="E5" s="3" t="s">
        <v>27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22</v>
      </c>
      <c r="K5" s="3" t="s">
        <v>23</v>
      </c>
      <c r="L5" s="5" t="s">
        <v>43</v>
      </c>
    </row>
    <row r="6" spans="1:12" x14ac:dyDescent="0.3">
      <c r="A6" s="3" t="s">
        <v>44</v>
      </c>
      <c r="B6" s="3" t="s">
        <v>45</v>
      </c>
      <c r="C6" s="4">
        <v>2099.9899999999998</v>
      </c>
      <c r="D6" s="3" t="s">
        <v>0</v>
      </c>
      <c r="E6" s="3" t="s">
        <v>27</v>
      </c>
      <c r="F6" s="3" t="s">
        <v>39</v>
      </c>
      <c r="G6" s="3" t="s">
        <v>46</v>
      </c>
      <c r="H6" s="3" t="s">
        <v>41</v>
      </c>
      <c r="I6" s="3" t="s">
        <v>47</v>
      </c>
      <c r="J6" s="3" t="s">
        <v>22</v>
      </c>
      <c r="K6" s="3" t="s">
        <v>23</v>
      </c>
      <c r="L6" s="5" t="s">
        <v>48</v>
      </c>
    </row>
    <row r="7" spans="1:12" x14ac:dyDescent="0.3">
      <c r="A7" s="3" t="s">
        <v>49</v>
      </c>
      <c r="B7" s="3" t="s">
        <v>50</v>
      </c>
      <c r="C7" s="4">
        <v>2399.9899999999998</v>
      </c>
      <c r="D7" s="3" t="s">
        <v>0</v>
      </c>
      <c r="E7" s="3" t="s">
        <v>27</v>
      </c>
      <c r="F7" s="3" t="s">
        <v>39</v>
      </c>
      <c r="G7" s="3" t="s">
        <v>51</v>
      </c>
      <c r="H7" s="3" t="s">
        <v>20</v>
      </c>
      <c r="I7" s="3" t="s">
        <v>52</v>
      </c>
      <c r="J7" s="3" t="s">
        <v>22</v>
      </c>
      <c r="K7" s="3" t="s">
        <v>23</v>
      </c>
      <c r="L7" s="5" t="s">
        <v>53</v>
      </c>
    </row>
    <row r="8" spans="1:12" x14ac:dyDescent="0.3">
      <c r="A8" s="3" t="s">
        <v>54</v>
      </c>
      <c r="B8" s="3" t="s">
        <v>55</v>
      </c>
      <c r="C8" s="4">
        <v>2349.9899999999998</v>
      </c>
      <c r="D8" s="3" t="s">
        <v>0</v>
      </c>
      <c r="E8" s="3" t="s">
        <v>27</v>
      </c>
      <c r="F8" s="3" t="s">
        <v>39</v>
      </c>
      <c r="G8" s="3" t="s">
        <v>56</v>
      </c>
      <c r="H8" s="3" t="s">
        <v>20</v>
      </c>
      <c r="I8" s="3" t="s">
        <v>57</v>
      </c>
      <c r="J8" s="3" t="s">
        <v>22</v>
      </c>
      <c r="K8" s="3" t="s">
        <v>23</v>
      </c>
      <c r="L8" s="5" t="s">
        <v>58</v>
      </c>
    </row>
    <row r="9" spans="1:12" x14ac:dyDescent="0.3">
      <c r="A9" s="3" t="s">
        <v>59</v>
      </c>
      <c r="B9" s="3" t="s">
        <v>60</v>
      </c>
      <c r="C9" s="4">
        <v>1849.99</v>
      </c>
      <c r="D9" s="3" t="s">
        <v>0</v>
      </c>
      <c r="E9" s="3" t="s">
        <v>27</v>
      </c>
      <c r="F9" s="3" t="s">
        <v>61</v>
      </c>
      <c r="G9" s="3" t="s">
        <v>62</v>
      </c>
      <c r="H9" s="3" t="s">
        <v>20</v>
      </c>
      <c r="I9" s="3" t="s">
        <v>63</v>
      </c>
      <c r="J9" s="3" t="s">
        <v>22</v>
      </c>
      <c r="K9" s="3" t="s">
        <v>23</v>
      </c>
      <c r="L9" s="5" t="s">
        <v>64</v>
      </c>
    </row>
    <row r="10" spans="1:12" x14ac:dyDescent="0.3">
      <c r="A10" s="3" t="s">
        <v>65</v>
      </c>
      <c r="B10" s="3" t="s">
        <v>66</v>
      </c>
      <c r="C10" s="4">
        <v>1649.99</v>
      </c>
      <c r="D10" s="3" t="s">
        <v>0</v>
      </c>
      <c r="E10" s="3" t="s">
        <v>27</v>
      </c>
      <c r="F10" s="3" t="s">
        <v>61</v>
      </c>
      <c r="G10" s="3" t="s">
        <v>67</v>
      </c>
      <c r="H10" s="3" t="s">
        <v>68</v>
      </c>
      <c r="I10" s="3" t="s">
        <v>69</v>
      </c>
      <c r="J10" s="3" t="s">
        <v>22</v>
      </c>
      <c r="K10" s="3" t="s">
        <v>23</v>
      </c>
      <c r="L10" s="5" t="s">
        <v>70</v>
      </c>
    </row>
    <row r="11" spans="1:12" x14ac:dyDescent="0.3">
      <c r="A11" s="3" t="s">
        <v>71</v>
      </c>
      <c r="B11" s="3" t="s">
        <v>72</v>
      </c>
      <c r="C11" s="4">
        <v>2299.9899999999998</v>
      </c>
      <c r="D11" s="3" t="s">
        <v>0</v>
      </c>
      <c r="E11" s="3" t="s">
        <v>27</v>
      </c>
      <c r="F11" s="3" t="s">
        <v>61</v>
      </c>
      <c r="G11" s="3" t="s">
        <v>73</v>
      </c>
      <c r="H11" s="3" t="s">
        <v>68</v>
      </c>
      <c r="I11" s="3" t="s">
        <v>74</v>
      </c>
      <c r="J11" s="3" t="s">
        <v>22</v>
      </c>
      <c r="K11" s="3" t="s">
        <v>23</v>
      </c>
      <c r="L11" s="5" t="s">
        <v>75</v>
      </c>
    </row>
    <row r="12" spans="1:12" x14ac:dyDescent="0.3">
      <c r="A12" s="3" t="s">
        <v>76</v>
      </c>
      <c r="B12" s="3" t="s">
        <v>77</v>
      </c>
      <c r="C12" s="4">
        <v>949</v>
      </c>
      <c r="D12" s="3" t="s">
        <v>0</v>
      </c>
      <c r="E12" s="3" t="s">
        <v>78</v>
      </c>
      <c r="F12" s="3" t="s">
        <v>79</v>
      </c>
      <c r="G12" s="3" t="s">
        <v>80</v>
      </c>
      <c r="H12" s="3" t="s">
        <v>81</v>
      </c>
      <c r="I12" s="3" t="s">
        <v>82</v>
      </c>
      <c r="J12" s="3" t="s">
        <v>22</v>
      </c>
      <c r="K12" s="3" t="s">
        <v>23</v>
      </c>
      <c r="L12" s="5" t="s">
        <v>83</v>
      </c>
    </row>
    <row r="13" spans="1:12" x14ac:dyDescent="0.3">
      <c r="A13" s="3" t="s">
        <v>84</v>
      </c>
      <c r="B13" s="3" t="s">
        <v>85</v>
      </c>
      <c r="C13" s="4">
        <v>699</v>
      </c>
      <c r="D13" s="3" t="s">
        <v>0</v>
      </c>
      <c r="E13" s="3" t="s">
        <v>78</v>
      </c>
      <c r="F13" s="3" t="s">
        <v>86</v>
      </c>
      <c r="G13" s="3" t="s">
        <v>87</v>
      </c>
      <c r="H13" s="3" t="s">
        <v>20</v>
      </c>
      <c r="I13" s="3" t="s">
        <v>88</v>
      </c>
      <c r="J13" s="3" t="s">
        <v>22</v>
      </c>
      <c r="K13" s="3" t="s">
        <v>23</v>
      </c>
      <c r="L13" s="5" t="s">
        <v>89</v>
      </c>
    </row>
    <row r="14" spans="1:12" x14ac:dyDescent="0.3">
      <c r="A14" s="3" t="s">
        <v>90</v>
      </c>
      <c r="B14" s="3" t="s">
        <v>91</v>
      </c>
      <c r="C14" s="4">
        <v>1149</v>
      </c>
      <c r="D14" s="3" t="s">
        <v>0</v>
      </c>
      <c r="E14" s="3" t="s">
        <v>78</v>
      </c>
      <c r="F14" s="3" t="s">
        <v>86</v>
      </c>
      <c r="G14" s="3" t="s">
        <v>92</v>
      </c>
      <c r="H14" s="3" t="s">
        <v>20</v>
      </c>
      <c r="I14" s="3" t="s">
        <v>93</v>
      </c>
      <c r="J14" s="3" t="s">
        <v>22</v>
      </c>
      <c r="K14" s="3" t="s">
        <v>23</v>
      </c>
      <c r="L14" s="5" t="s">
        <v>94</v>
      </c>
    </row>
    <row r="15" spans="1:12" x14ac:dyDescent="0.3">
      <c r="A15" s="3" t="s">
        <v>95</v>
      </c>
      <c r="B15" s="3" t="s">
        <v>96</v>
      </c>
      <c r="C15" s="4">
        <v>629</v>
      </c>
      <c r="D15" s="3" t="s">
        <v>0</v>
      </c>
      <c r="E15" s="3" t="s">
        <v>78</v>
      </c>
      <c r="F15" s="3" t="s">
        <v>86</v>
      </c>
      <c r="G15" s="3" t="s">
        <v>97</v>
      </c>
      <c r="H15" s="3" t="s">
        <v>20</v>
      </c>
      <c r="I15" s="3" t="s">
        <v>98</v>
      </c>
      <c r="J15" s="3" t="s">
        <v>22</v>
      </c>
      <c r="K15" s="3" t="s">
        <v>23</v>
      </c>
      <c r="L15" s="5" t="s">
        <v>99</v>
      </c>
    </row>
    <row r="16" spans="1:12" x14ac:dyDescent="0.3">
      <c r="A16" s="3" t="s">
        <v>100</v>
      </c>
      <c r="B16" s="3" t="s">
        <v>101</v>
      </c>
      <c r="C16" s="4">
        <v>1496.99</v>
      </c>
      <c r="D16" s="3" t="s">
        <v>0</v>
      </c>
      <c r="E16" s="3" t="s">
        <v>27</v>
      </c>
      <c r="F16" s="3" t="s">
        <v>102</v>
      </c>
      <c r="G16" s="3" t="s">
        <v>103</v>
      </c>
      <c r="H16" s="3" t="s">
        <v>20</v>
      </c>
      <c r="I16" s="3" t="s">
        <v>104</v>
      </c>
      <c r="J16" s="3" t="s">
        <v>22</v>
      </c>
      <c r="K16" s="3" t="s">
        <v>23</v>
      </c>
      <c r="L16" s="5" t="s">
        <v>105</v>
      </c>
    </row>
    <row r="17" spans="1:12" x14ac:dyDescent="0.3">
      <c r="A17" s="3" t="s">
        <v>106</v>
      </c>
      <c r="B17" s="3" t="s">
        <v>107</v>
      </c>
      <c r="C17" s="4">
        <v>1599</v>
      </c>
      <c r="D17" s="3" t="s">
        <v>0</v>
      </c>
      <c r="E17" s="3" t="s">
        <v>27</v>
      </c>
      <c r="F17" s="3" t="s">
        <v>108</v>
      </c>
      <c r="G17" s="3" t="s">
        <v>109</v>
      </c>
      <c r="H17" s="3" t="s">
        <v>20</v>
      </c>
      <c r="I17" s="3" t="s">
        <v>110</v>
      </c>
      <c r="J17" s="3" t="s">
        <v>22</v>
      </c>
      <c r="K17" s="3" t="s">
        <v>23</v>
      </c>
      <c r="L17" s="5" t="s">
        <v>111</v>
      </c>
    </row>
    <row r="18" spans="1:12" x14ac:dyDescent="0.3">
      <c r="A18" s="3" t="s">
        <v>112</v>
      </c>
      <c r="B18" s="3" t="s">
        <v>113</v>
      </c>
      <c r="C18" s="4">
        <v>1596.99</v>
      </c>
      <c r="D18" s="3" t="s">
        <v>0</v>
      </c>
      <c r="E18" s="3" t="s">
        <v>114</v>
      </c>
      <c r="F18" s="3" t="s">
        <v>115</v>
      </c>
      <c r="G18" s="3" t="s">
        <v>116</v>
      </c>
      <c r="H18" s="3" t="s">
        <v>20</v>
      </c>
      <c r="I18" s="3" t="s">
        <v>117</v>
      </c>
      <c r="J18" s="3" t="s">
        <v>22</v>
      </c>
      <c r="K18" s="3" t="s">
        <v>23</v>
      </c>
      <c r="L18" s="5" t="s">
        <v>118</v>
      </c>
    </row>
    <row r="19" spans="1:12" x14ac:dyDescent="0.3">
      <c r="A19" s="3" t="s">
        <v>119</v>
      </c>
      <c r="B19" s="3" t="s">
        <v>120</v>
      </c>
      <c r="C19" s="4">
        <v>2096.9899999999998</v>
      </c>
      <c r="D19" s="3" t="s">
        <v>0</v>
      </c>
      <c r="E19" s="3" t="s">
        <v>114</v>
      </c>
      <c r="F19" s="3" t="s">
        <v>115</v>
      </c>
      <c r="G19" s="3" t="s">
        <v>121</v>
      </c>
      <c r="H19" s="3" t="s">
        <v>20</v>
      </c>
      <c r="I19" s="3" t="s">
        <v>122</v>
      </c>
      <c r="J19" s="3" t="s">
        <v>22</v>
      </c>
      <c r="K19" s="3" t="s">
        <v>23</v>
      </c>
      <c r="L19" s="5" t="s">
        <v>123</v>
      </c>
    </row>
    <row r="20" spans="1:12" x14ac:dyDescent="0.3">
      <c r="A20" s="3" t="s">
        <v>124</v>
      </c>
      <c r="B20" s="3" t="s">
        <v>125</v>
      </c>
      <c r="C20" s="4">
        <v>2249.9899999999998</v>
      </c>
      <c r="D20" s="3" t="s">
        <v>0</v>
      </c>
      <c r="E20" s="3" t="s">
        <v>114</v>
      </c>
      <c r="F20" s="3" t="s">
        <v>126</v>
      </c>
      <c r="G20" s="3" t="s">
        <v>127</v>
      </c>
      <c r="H20" s="3" t="s">
        <v>20</v>
      </c>
      <c r="I20" s="3" t="s">
        <v>128</v>
      </c>
      <c r="J20" s="3" t="s">
        <v>22</v>
      </c>
      <c r="K20" s="3" t="s">
        <v>23</v>
      </c>
      <c r="L20" s="5" t="s">
        <v>129</v>
      </c>
    </row>
    <row r="21" spans="1:12" x14ac:dyDescent="0.3">
      <c r="A21" s="3" t="s">
        <v>130</v>
      </c>
      <c r="B21" s="3" t="s">
        <v>131</v>
      </c>
      <c r="C21" s="4">
        <v>2199.9899999999998</v>
      </c>
      <c r="D21" s="3" t="s">
        <v>0</v>
      </c>
      <c r="E21" s="3" t="s">
        <v>114</v>
      </c>
      <c r="F21" s="3" t="s">
        <v>126</v>
      </c>
      <c r="G21" s="3" t="s">
        <v>132</v>
      </c>
      <c r="H21" s="3" t="s">
        <v>20</v>
      </c>
      <c r="I21" s="3" t="s">
        <v>133</v>
      </c>
      <c r="J21" s="3" t="s">
        <v>22</v>
      </c>
      <c r="K21" s="3" t="s">
        <v>23</v>
      </c>
      <c r="L21" s="5" t="s">
        <v>134</v>
      </c>
    </row>
    <row r="22" spans="1:12" x14ac:dyDescent="0.3">
      <c r="A22" s="3" t="s">
        <v>135</v>
      </c>
      <c r="B22" s="3" t="s">
        <v>136</v>
      </c>
      <c r="C22" s="4">
        <v>2499.9899999999998</v>
      </c>
      <c r="D22" s="3" t="s">
        <v>0</v>
      </c>
      <c r="E22" s="3" t="s">
        <v>114</v>
      </c>
      <c r="F22" s="3" t="s">
        <v>126</v>
      </c>
      <c r="G22" s="3" t="s">
        <v>137</v>
      </c>
      <c r="H22" s="3" t="s">
        <v>20</v>
      </c>
      <c r="I22" s="3" t="s">
        <v>138</v>
      </c>
      <c r="J22" s="3" t="s">
        <v>22</v>
      </c>
      <c r="K22" s="3" t="s">
        <v>23</v>
      </c>
      <c r="L22" s="5" t="s">
        <v>139</v>
      </c>
    </row>
    <row r="23" spans="1:12" x14ac:dyDescent="0.3">
      <c r="A23" s="3" t="s">
        <v>140</v>
      </c>
      <c r="B23" s="3" t="s">
        <v>141</v>
      </c>
      <c r="C23" s="4">
        <v>2199</v>
      </c>
      <c r="D23" s="3" t="s">
        <v>0</v>
      </c>
      <c r="E23" s="3" t="s">
        <v>114</v>
      </c>
      <c r="F23" s="3" t="s">
        <v>126</v>
      </c>
      <c r="G23" s="3" t="s">
        <v>142</v>
      </c>
      <c r="H23" s="3" t="s">
        <v>20</v>
      </c>
      <c r="I23" s="3" t="s">
        <v>143</v>
      </c>
      <c r="J23" s="3" t="s">
        <v>144</v>
      </c>
      <c r="K23" s="3" t="s">
        <v>23</v>
      </c>
      <c r="L23" s="5" t="s">
        <v>145</v>
      </c>
    </row>
    <row r="24" spans="1:12" x14ac:dyDescent="0.3">
      <c r="A24" s="3" t="s">
        <v>146</v>
      </c>
      <c r="B24" s="3" t="s">
        <v>147</v>
      </c>
      <c r="C24" s="4">
        <v>1099</v>
      </c>
      <c r="D24" s="3" t="s">
        <v>0</v>
      </c>
      <c r="E24" s="3" t="s">
        <v>78</v>
      </c>
      <c r="F24" s="3" t="s">
        <v>148</v>
      </c>
      <c r="G24" s="3" t="s">
        <v>149</v>
      </c>
      <c r="H24" s="3" t="s">
        <v>20</v>
      </c>
      <c r="I24" s="3" t="s">
        <v>150</v>
      </c>
      <c r="J24" s="3" t="s">
        <v>22</v>
      </c>
      <c r="K24" s="3" t="s">
        <v>23</v>
      </c>
      <c r="L24" s="5" t="s">
        <v>151</v>
      </c>
    </row>
    <row r="25" spans="1:12" x14ac:dyDescent="0.3">
      <c r="A25" s="3" t="s">
        <v>152</v>
      </c>
      <c r="B25" s="3" t="s">
        <v>153</v>
      </c>
      <c r="C25" s="4">
        <v>1499</v>
      </c>
      <c r="D25" s="3" t="s">
        <v>0</v>
      </c>
      <c r="E25" s="3" t="s">
        <v>78</v>
      </c>
      <c r="F25" s="3" t="s">
        <v>148</v>
      </c>
      <c r="G25" s="3" t="s">
        <v>154</v>
      </c>
      <c r="H25" s="3" t="s">
        <v>20</v>
      </c>
      <c r="I25" s="3" t="s">
        <v>155</v>
      </c>
      <c r="J25" s="3" t="s">
        <v>22</v>
      </c>
      <c r="K25" s="3" t="s">
        <v>23</v>
      </c>
      <c r="L25" s="5" t="s">
        <v>156</v>
      </c>
    </row>
    <row r="26" spans="1:12" x14ac:dyDescent="0.3">
      <c r="A26" s="3" t="s">
        <v>157</v>
      </c>
      <c r="B26" s="3" t="s">
        <v>158</v>
      </c>
      <c r="C26" s="4">
        <v>2396.9899999999998</v>
      </c>
      <c r="D26" s="3" t="s">
        <v>0</v>
      </c>
      <c r="E26" s="3" t="s">
        <v>159</v>
      </c>
      <c r="F26" s="3" t="s">
        <v>160</v>
      </c>
      <c r="G26" s="3" t="s">
        <v>161</v>
      </c>
      <c r="H26" s="3" t="s">
        <v>20</v>
      </c>
      <c r="I26" s="3" t="s">
        <v>162</v>
      </c>
      <c r="J26" s="3" t="s">
        <v>22</v>
      </c>
      <c r="K26" s="3" t="s">
        <v>23</v>
      </c>
      <c r="L26" s="5" t="s">
        <v>163</v>
      </c>
    </row>
    <row r="27" spans="1:12" x14ac:dyDescent="0.3">
      <c r="A27" s="3" t="s">
        <v>164</v>
      </c>
      <c r="B27" s="3" t="s">
        <v>165</v>
      </c>
      <c r="C27" s="4">
        <v>1696.99</v>
      </c>
      <c r="D27" s="3" t="s">
        <v>0</v>
      </c>
      <c r="E27" s="3" t="s">
        <v>27</v>
      </c>
      <c r="F27" s="3" t="s">
        <v>166</v>
      </c>
      <c r="G27" s="3" t="s">
        <v>167</v>
      </c>
      <c r="H27" s="3" t="s">
        <v>20</v>
      </c>
      <c r="I27" s="3" t="s">
        <v>168</v>
      </c>
      <c r="J27" s="3" t="s">
        <v>22</v>
      </c>
      <c r="K27" s="3" t="s">
        <v>23</v>
      </c>
      <c r="L27" s="5" t="s">
        <v>169</v>
      </c>
    </row>
    <row r="28" spans="1:12" x14ac:dyDescent="0.3">
      <c r="A28" s="3" t="s">
        <v>170</v>
      </c>
      <c r="B28" s="3" t="s">
        <v>171</v>
      </c>
      <c r="C28" s="4">
        <v>2099</v>
      </c>
      <c r="D28" s="3" t="s">
        <v>0</v>
      </c>
      <c r="E28" s="3" t="s">
        <v>27</v>
      </c>
      <c r="F28" s="3" t="s">
        <v>172</v>
      </c>
      <c r="G28" s="3" t="s">
        <v>173</v>
      </c>
      <c r="H28" s="3" t="s">
        <v>20</v>
      </c>
      <c r="I28" s="3" t="s">
        <v>174</v>
      </c>
      <c r="J28" s="3" t="s">
        <v>22</v>
      </c>
      <c r="K28" s="3" t="s">
        <v>23</v>
      </c>
      <c r="L28" s="5" t="s">
        <v>175</v>
      </c>
    </row>
    <row r="29" spans="1:12" x14ac:dyDescent="0.3">
      <c r="A29" s="3" t="s">
        <v>176</v>
      </c>
      <c r="B29" s="3" t="s">
        <v>177</v>
      </c>
      <c r="C29" s="4">
        <v>1749</v>
      </c>
      <c r="D29" s="3" t="s">
        <v>0</v>
      </c>
      <c r="E29" s="3" t="s">
        <v>27</v>
      </c>
      <c r="F29" s="3" t="s">
        <v>172</v>
      </c>
      <c r="G29" s="3" t="s">
        <v>178</v>
      </c>
      <c r="H29" s="3" t="s">
        <v>20</v>
      </c>
      <c r="I29" s="3" t="s">
        <v>179</v>
      </c>
      <c r="J29" s="3" t="s">
        <v>22</v>
      </c>
      <c r="K29" s="3" t="s">
        <v>23</v>
      </c>
      <c r="L29" s="5" t="s">
        <v>180</v>
      </c>
    </row>
    <row r="30" spans="1:12" x14ac:dyDescent="0.3">
      <c r="A30" s="3" t="s">
        <v>181</v>
      </c>
      <c r="B30" s="3" t="s">
        <v>182</v>
      </c>
      <c r="C30" s="4">
        <v>1846.99</v>
      </c>
      <c r="D30" s="3" t="s">
        <v>0</v>
      </c>
      <c r="E30" s="3" t="s">
        <v>159</v>
      </c>
      <c r="F30" s="3" t="s">
        <v>183</v>
      </c>
      <c r="G30" s="3" t="s">
        <v>184</v>
      </c>
      <c r="H30" s="3" t="s">
        <v>185</v>
      </c>
      <c r="I30" s="3" t="s">
        <v>186</v>
      </c>
      <c r="J30" s="3" t="s">
        <v>22</v>
      </c>
      <c r="K30" s="3" t="s">
        <v>23</v>
      </c>
      <c r="L30" s="5" t="s">
        <v>187</v>
      </c>
    </row>
    <row r="31" spans="1:12" x14ac:dyDescent="0.3">
      <c r="A31" s="3" t="s">
        <v>188</v>
      </c>
      <c r="B31" s="3" t="s">
        <v>189</v>
      </c>
      <c r="C31" s="4">
        <v>2096.9899999999998</v>
      </c>
      <c r="D31" s="3" t="s">
        <v>0</v>
      </c>
      <c r="E31" s="3" t="s">
        <v>159</v>
      </c>
      <c r="F31" s="3" t="s">
        <v>183</v>
      </c>
      <c r="G31" s="3" t="s">
        <v>190</v>
      </c>
      <c r="H31" s="3" t="s">
        <v>185</v>
      </c>
      <c r="I31" s="3" t="s">
        <v>191</v>
      </c>
      <c r="J31" s="3" t="s">
        <v>22</v>
      </c>
      <c r="K31" s="3" t="s">
        <v>23</v>
      </c>
      <c r="L31" s="5" t="s">
        <v>192</v>
      </c>
    </row>
    <row r="32" spans="1:12" x14ac:dyDescent="0.3">
      <c r="A32" s="3" t="s">
        <v>193</v>
      </c>
      <c r="B32" s="3" t="s">
        <v>194</v>
      </c>
      <c r="C32" s="4">
        <v>1399</v>
      </c>
      <c r="D32" s="3" t="s">
        <v>0</v>
      </c>
      <c r="E32" s="3" t="s">
        <v>159</v>
      </c>
      <c r="F32" s="3" t="s">
        <v>195</v>
      </c>
      <c r="G32" s="3" t="s">
        <v>196</v>
      </c>
      <c r="H32" s="3" t="s">
        <v>20</v>
      </c>
      <c r="I32" s="3" t="s">
        <v>197</v>
      </c>
      <c r="J32" s="3" t="s">
        <v>22</v>
      </c>
      <c r="K32" s="3" t="s">
        <v>23</v>
      </c>
      <c r="L32" s="5" t="s">
        <v>198</v>
      </c>
    </row>
    <row r="33" spans="1:12" x14ac:dyDescent="0.3">
      <c r="A33" s="3" t="s">
        <v>199</v>
      </c>
      <c r="B33" s="3" t="s">
        <v>200</v>
      </c>
      <c r="C33" s="4">
        <v>1499</v>
      </c>
      <c r="D33" s="3" t="s">
        <v>0</v>
      </c>
      <c r="E33" s="3" t="s">
        <v>27</v>
      </c>
      <c r="F33" s="3" t="s">
        <v>201</v>
      </c>
      <c r="G33" s="3" t="s">
        <v>202</v>
      </c>
      <c r="H33" s="3" t="s">
        <v>20</v>
      </c>
      <c r="I33" s="3" t="s">
        <v>203</v>
      </c>
      <c r="J33" s="3" t="s">
        <v>22</v>
      </c>
      <c r="K33" s="3" t="s">
        <v>23</v>
      </c>
      <c r="L33" s="5" t="s">
        <v>204</v>
      </c>
    </row>
    <row r="34" spans="1:12" x14ac:dyDescent="0.3">
      <c r="A34" s="3" t="s">
        <v>205</v>
      </c>
      <c r="B34" s="3" t="s">
        <v>206</v>
      </c>
      <c r="C34" s="4">
        <v>1849</v>
      </c>
      <c r="D34" s="3" t="s">
        <v>0</v>
      </c>
      <c r="E34" s="3" t="s">
        <v>27</v>
      </c>
      <c r="F34" s="3" t="s">
        <v>207</v>
      </c>
      <c r="G34" s="3" t="s">
        <v>208</v>
      </c>
      <c r="H34" s="3" t="s">
        <v>20</v>
      </c>
      <c r="I34" s="3" t="s">
        <v>209</v>
      </c>
      <c r="J34" s="3" t="s">
        <v>22</v>
      </c>
      <c r="K34" s="3" t="s">
        <v>23</v>
      </c>
      <c r="L34" s="5" t="s">
        <v>210</v>
      </c>
    </row>
    <row r="35" spans="1:12" x14ac:dyDescent="0.3">
      <c r="A35" s="3" t="s">
        <v>211</v>
      </c>
      <c r="B35" s="3" t="s">
        <v>212</v>
      </c>
      <c r="C35" s="4">
        <v>1799</v>
      </c>
      <c r="D35" s="3" t="s">
        <v>0</v>
      </c>
      <c r="E35" s="3" t="s">
        <v>27</v>
      </c>
      <c r="F35" s="3" t="s">
        <v>207</v>
      </c>
      <c r="G35" s="3" t="s">
        <v>213</v>
      </c>
      <c r="H35" s="3" t="s">
        <v>20</v>
      </c>
      <c r="I35" s="3" t="s">
        <v>214</v>
      </c>
      <c r="J35" s="3" t="s">
        <v>22</v>
      </c>
      <c r="K35" s="3" t="s">
        <v>23</v>
      </c>
      <c r="L35" s="5" t="s">
        <v>215</v>
      </c>
    </row>
  </sheetData>
  <hyperlinks>
    <hyperlink ref="L2" r:id="rId1" xr:uid="{00000000-0004-0000-0100-000000000000}"/>
    <hyperlink ref="L3" r:id="rId2" xr:uid="{00000000-0004-0000-0100-000001000000}"/>
    <hyperlink ref="L4" r:id="rId3" xr:uid="{00000000-0004-0000-0100-000002000000}"/>
    <hyperlink ref="L5" r:id="rId4" xr:uid="{00000000-0004-0000-0100-000003000000}"/>
    <hyperlink ref="L6" r:id="rId5" xr:uid="{00000000-0004-0000-0100-000004000000}"/>
    <hyperlink ref="L7" r:id="rId6" xr:uid="{00000000-0004-0000-0100-000005000000}"/>
    <hyperlink ref="L8" r:id="rId7" xr:uid="{00000000-0004-0000-0100-000006000000}"/>
    <hyperlink ref="L9" r:id="rId8" xr:uid="{00000000-0004-0000-0100-000007000000}"/>
    <hyperlink ref="L10" r:id="rId9" xr:uid="{00000000-0004-0000-0100-000008000000}"/>
    <hyperlink ref="L11" r:id="rId10" xr:uid="{00000000-0004-0000-0100-000009000000}"/>
    <hyperlink ref="L12" r:id="rId11" xr:uid="{00000000-0004-0000-0100-00000A000000}"/>
    <hyperlink ref="L13" r:id="rId12" xr:uid="{00000000-0004-0000-0100-00000B000000}"/>
    <hyperlink ref="L14" r:id="rId13" xr:uid="{00000000-0004-0000-0100-00000C000000}"/>
    <hyperlink ref="L15" r:id="rId14" xr:uid="{00000000-0004-0000-0100-00000D000000}"/>
    <hyperlink ref="L16" r:id="rId15" xr:uid="{00000000-0004-0000-0100-00000E000000}"/>
    <hyperlink ref="L17" r:id="rId16" xr:uid="{00000000-0004-0000-0100-00000F000000}"/>
    <hyperlink ref="L18" r:id="rId17" xr:uid="{00000000-0004-0000-0100-000010000000}"/>
    <hyperlink ref="L19" r:id="rId18" xr:uid="{00000000-0004-0000-0100-000011000000}"/>
    <hyperlink ref="L20" r:id="rId19" xr:uid="{00000000-0004-0000-0100-000012000000}"/>
    <hyperlink ref="L21" r:id="rId20" xr:uid="{00000000-0004-0000-0100-000013000000}"/>
    <hyperlink ref="L22" r:id="rId21" xr:uid="{00000000-0004-0000-0100-000014000000}"/>
    <hyperlink ref="L23" r:id="rId22" xr:uid="{00000000-0004-0000-0100-000015000000}"/>
    <hyperlink ref="L24" r:id="rId23" xr:uid="{00000000-0004-0000-0100-000016000000}"/>
    <hyperlink ref="L25" r:id="rId24" xr:uid="{00000000-0004-0000-0100-000017000000}"/>
    <hyperlink ref="L26" r:id="rId25" xr:uid="{00000000-0004-0000-0100-000018000000}"/>
    <hyperlink ref="L27" r:id="rId26" xr:uid="{00000000-0004-0000-0100-000019000000}"/>
    <hyperlink ref="L28" r:id="rId27" xr:uid="{00000000-0004-0000-0100-00001A000000}"/>
    <hyperlink ref="L29" r:id="rId28" xr:uid="{00000000-0004-0000-0100-00001B000000}"/>
    <hyperlink ref="L30" r:id="rId29" xr:uid="{00000000-0004-0000-0100-00001C000000}"/>
    <hyperlink ref="L31" r:id="rId30" xr:uid="{00000000-0004-0000-0100-00001D000000}"/>
    <hyperlink ref="L32" r:id="rId31" xr:uid="{00000000-0004-0000-0100-00001E000000}"/>
    <hyperlink ref="L33" r:id="rId32" xr:uid="{00000000-0004-0000-0100-00001F000000}"/>
    <hyperlink ref="L34" r:id="rId33" xr:uid="{00000000-0004-0000-0100-000020000000}"/>
    <hyperlink ref="L35" r:id="rId34" xr:uid="{00000000-0004-0000-0100-000021000000}"/>
  </hyperlinks>
  <pageMargins left="0.75" right="0.75" top="1" bottom="1" header="0.511811023622047" footer="0.511811023622047"/>
  <pageSetup paperSize="9" orientation="portrait" horizontalDpi="300" verticalDpi="300"/>
  <tableParts count="1">
    <tablePart r:id="rId3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" sqref="I1"/>
    </sheetView>
  </sheetViews>
  <sheetFormatPr defaultColWidth="8.6640625" defaultRowHeight="14.4" x14ac:dyDescent="0.3"/>
  <cols>
    <col min="1" max="1" width="52" style="1" customWidth="1"/>
    <col min="2" max="2" width="18" style="1" customWidth="1"/>
    <col min="3" max="3" width="16" style="1" customWidth="1"/>
    <col min="4" max="4" width="10" style="1" customWidth="1"/>
    <col min="5" max="5" width="20" style="1" customWidth="1"/>
    <col min="6" max="6" width="24" style="1" customWidth="1"/>
    <col min="7" max="7" width="36" style="1" customWidth="1"/>
    <col min="8" max="8" width="16" style="1" customWidth="1"/>
    <col min="9" max="9" width="12" style="1" customWidth="1"/>
    <col min="10" max="10" width="9" style="1" customWidth="1"/>
    <col min="11" max="11" width="16" style="1" customWidth="1"/>
    <col min="12" max="12" width="60" style="1" customWidth="1"/>
    <col min="13" max="16384" width="8.6640625" style="1"/>
  </cols>
  <sheetData>
    <row r="1" spans="1:12" ht="30" customHeight="1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</row>
    <row r="2" spans="1:12" x14ac:dyDescent="0.3">
      <c r="A2" s="3" t="s">
        <v>216</v>
      </c>
      <c r="B2" s="3" t="s">
        <v>217</v>
      </c>
      <c r="C2" s="4">
        <v>1299</v>
      </c>
      <c r="D2" s="3" t="s">
        <v>1</v>
      </c>
      <c r="E2" s="3" t="s">
        <v>218</v>
      </c>
      <c r="F2" s="3" t="s">
        <v>219</v>
      </c>
      <c r="G2" s="3" t="s">
        <v>220</v>
      </c>
      <c r="H2" s="3" t="s">
        <v>20</v>
      </c>
      <c r="I2" s="3" t="s">
        <v>221</v>
      </c>
      <c r="J2" s="3" t="s">
        <v>22</v>
      </c>
      <c r="K2" s="3" t="s">
        <v>23</v>
      </c>
      <c r="L2" s="5" t="s">
        <v>222</v>
      </c>
    </row>
    <row r="3" spans="1:12" x14ac:dyDescent="0.3">
      <c r="A3" s="3" t="s">
        <v>223</v>
      </c>
      <c r="B3" s="3" t="s">
        <v>224</v>
      </c>
      <c r="C3" s="4">
        <v>1299</v>
      </c>
      <c r="D3" s="3" t="s">
        <v>1</v>
      </c>
      <c r="E3" s="3" t="s">
        <v>218</v>
      </c>
      <c r="F3" s="3" t="s">
        <v>219</v>
      </c>
      <c r="G3" s="3" t="s">
        <v>220</v>
      </c>
      <c r="H3" s="3" t="s">
        <v>225</v>
      </c>
      <c r="I3" s="3" t="s">
        <v>226</v>
      </c>
      <c r="J3" s="3" t="s">
        <v>22</v>
      </c>
      <c r="K3" s="3" t="s">
        <v>23</v>
      </c>
      <c r="L3" s="5" t="s">
        <v>222</v>
      </c>
    </row>
    <row r="4" spans="1:12" x14ac:dyDescent="0.3">
      <c r="A4" s="3" t="s">
        <v>227</v>
      </c>
      <c r="B4" s="3" t="s">
        <v>228</v>
      </c>
      <c r="C4" s="4">
        <v>1499</v>
      </c>
      <c r="D4" s="3" t="s">
        <v>1</v>
      </c>
      <c r="E4" s="3" t="s">
        <v>218</v>
      </c>
      <c r="F4" s="3" t="s">
        <v>219</v>
      </c>
      <c r="G4" s="3" t="s">
        <v>229</v>
      </c>
      <c r="H4" s="3" t="s">
        <v>68</v>
      </c>
      <c r="I4" s="3" t="s">
        <v>230</v>
      </c>
      <c r="J4" s="3" t="s">
        <v>22</v>
      </c>
      <c r="K4" s="3" t="s">
        <v>23</v>
      </c>
      <c r="L4" s="5" t="s">
        <v>222</v>
      </c>
    </row>
    <row r="5" spans="1:12" x14ac:dyDescent="0.3">
      <c r="A5" s="3" t="s">
        <v>231</v>
      </c>
      <c r="B5" s="3" t="s">
        <v>232</v>
      </c>
      <c r="C5" s="4">
        <v>1899</v>
      </c>
      <c r="D5" s="3" t="s">
        <v>1</v>
      </c>
      <c r="E5" s="3" t="s">
        <v>218</v>
      </c>
      <c r="F5" s="3" t="s">
        <v>219</v>
      </c>
      <c r="G5" s="3" t="s">
        <v>233</v>
      </c>
      <c r="H5" s="3" t="s">
        <v>234</v>
      </c>
      <c r="I5" s="3" t="s">
        <v>235</v>
      </c>
      <c r="J5" s="3" t="s">
        <v>22</v>
      </c>
      <c r="K5" s="3" t="s">
        <v>23</v>
      </c>
      <c r="L5" s="5" t="s">
        <v>222</v>
      </c>
    </row>
    <row r="6" spans="1:12" x14ac:dyDescent="0.3">
      <c r="A6" s="3" t="s">
        <v>236</v>
      </c>
      <c r="B6" s="3" t="s">
        <v>237</v>
      </c>
      <c r="C6" s="4">
        <v>2499</v>
      </c>
      <c r="D6" s="3" t="s">
        <v>1</v>
      </c>
      <c r="E6" s="3" t="s">
        <v>218</v>
      </c>
      <c r="F6" s="3" t="s">
        <v>219</v>
      </c>
      <c r="G6" s="3" t="s">
        <v>238</v>
      </c>
      <c r="H6" s="3" t="s">
        <v>20</v>
      </c>
      <c r="I6" s="3" t="s">
        <v>239</v>
      </c>
      <c r="J6" s="3" t="s">
        <v>22</v>
      </c>
      <c r="K6" s="3" t="s">
        <v>23</v>
      </c>
      <c r="L6" s="5" t="s">
        <v>222</v>
      </c>
    </row>
    <row r="7" spans="1:12" x14ac:dyDescent="0.3">
      <c r="A7" s="3" t="s">
        <v>240</v>
      </c>
      <c r="B7" s="3" t="s">
        <v>241</v>
      </c>
      <c r="C7" s="4">
        <v>1099</v>
      </c>
      <c r="D7" s="3" t="s">
        <v>1</v>
      </c>
      <c r="E7" s="3" t="s">
        <v>218</v>
      </c>
      <c r="F7" s="3" t="s">
        <v>242</v>
      </c>
      <c r="G7" s="3" t="s">
        <v>220</v>
      </c>
      <c r="H7" s="3" t="s">
        <v>243</v>
      </c>
      <c r="I7" s="3" t="s">
        <v>244</v>
      </c>
      <c r="J7" s="3" t="s">
        <v>22</v>
      </c>
      <c r="K7" s="3" t="s">
        <v>23</v>
      </c>
      <c r="L7" s="5" t="s">
        <v>245</v>
      </c>
    </row>
    <row r="8" spans="1:12" x14ac:dyDescent="0.3">
      <c r="A8" s="3" t="s">
        <v>246</v>
      </c>
      <c r="B8" s="3" t="s">
        <v>247</v>
      </c>
      <c r="C8" s="4">
        <v>1299</v>
      </c>
      <c r="D8" s="3" t="s">
        <v>1</v>
      </c>
      <c r="E8" s="3" t="s">
        <v>218</v>
      </c>
      <c r="F8" s="3" t="s">
        <v>242</v>
      </c>
      <c r="G8" s="3" t="s">
        <v>229</v>
      </c>
      <c r="H8" s="3" t="s">
        <v>248</v>
      </c>
      <c r="I8" s="3" t="s">
        <v>249</v>
      </c>
      <c r="J8" s="3" t="s">
        <v>22</v>
      </c>
      <c r="K8" s="3" t="s">
        <v>23</v>
      </c>
      <c r="L8" s="5" t="s">
        <v>245</v>
      </c>
    </row>
    <row r="9" spans="1:12" x14ac:dyDescent="0.3">
      <c r="A9" s="3" t="s">
        <v>250</v>
      </c>
      <c r="B9" s="3" t="s">
        <v>251</v>
      </c>
      <c r="C9" s="4">
        <v>1699</v>
      </c>
      <c r="D9" s="3" t="s">
        <v>1</v>
      </c>
      <c r="E9" s="3" t="s">
        <v>218</v>
      </c>
      <c r="F9" s="3" t="s">
        <v>242</v>
      </c>
      <c r="G9" s="3" t="s">
        <v>233</v>
      </c>
      <c r="H9" s="3" t="s">
        <v>252</v>
      </c>
      <c r="I9" s="3" t="s">
        <v>253</v>
      </c>
      <c r="J9" s="3" t="s">
        <v>22</v>
      </c>
      <c r="K9" s="3" t="s">
        <v>23</v>
      </c>
      <c r="L9" s="5" t="s">
        <v>245</v>
      </c>
    </row>
    <row r="10" spans="1:12" x14ac:dyDescent="0.3">
      <c r="A10" s="3" t="s">
        <v>254</v>
      </c>
      <c r="B10" s="3" t="s">
        <v>255</v>
      </c>
      <c r="C10" s="4">
        <v>899</v>
      </c>
      <c r="D10" s="3" t="s">
        <v>1</v>
      </c>
      <c r="E10" s="3" t="s">
        <v>218</v>
      </c>
      <c r="F10" s="3" t="s">
        <v>256</v>
      </c>
      <c r="G10" s="3" t="s">
        <v>220</v>
      </c>
      <c r="H10" s="3" t="s">
        <v>20</v>
      </c>
      <c r="I10" s="3" t="s">
        <v>257</v>
      </c>
      <c r="J10" s="3" t="s">
        <v>22</v>
      </c>
      <c r="K10" s="3" t="s">
        <v>23</v>
      </c>
      <c r="L10" s="5" t="s">
        <v>258</v>
      </c>
    </row>
    <row r="11" spans="1:12" x14ac:dyDescent="0.3">
      <c r="A11" s="3" t="s">
        <v>259</v>
      </c>
      <c r="B11" s="3" t="s">
        <v>260</v>
      </c>
      <c r="C11" s="4">
        <v>899</v>
      </c>
      <c r="D11" s="3" t="s">
        <v>1</v>
      </c>
      <c r="E11" s="3" t="s">
        <v>218</v>
      </c>
      <c r="F11" s="3" t="s">
        <v>256</v>
      </c>
      <c r="G11" s="3" t="s">
        <v>220</v>
      </c>
      <c r="H11" s="3" t="s">
        <v>261</v>
      </c>
      <c r="I11" s="3" t="s">
        <v>262</v>
      </c>
      <c r="J11" s="3" t="s">
        <v>22</v>
      </c>
      <c r="K11" s="3" t="s">
        <v>23</v>
      </c>
      <c r="L11" s="5" t="s">
        <v>258</v>
      </c>
    </row>
    <row r="12" spans="1:12" x14ac:dyDescent="0.3">
      <c r="A12" s="3" t="s">
        <v>263</v>
      </c>
      <c r="B12" s="3" t="s">
        <v>264</v>
      </c>
      <c r="C12" s="4">
        <v>1099</v>
      </c>
      <c r="D12" s="3" t="s">
        <v>1</v>
      </c>
      <c r="E12" s="3" t="s">
        <v>218</v>
      </c>
      <c r="F12" s="3" t="s">
        <v>256</v>
      </c>
      <c r="G12" s="3" t="s">
        <v>229</v>
      </c>
      <c r="H12" s="3" t="s">
        <v>265</v>
      </c>
      <c r="I12" s="3" t="s">
        <v>266</v>
      </c>
      <c r="J12" s="3" t="s">
        <v>22</v>
      </c>
      <c r="K12" s="3" t="s">
        <v>23</v>
      </c>
      <c r="L12" s="5" t="s">
        <v>258</v>
      </c>
    </row>
    <row r="13" spans="1:12" x14ac:dyDescent="0.3">
      <c r="A13" s="3" t="s">
        <v>267</v>
      </c>
      <c r="B13" s="3" t="s">
        <v>268</v>
      </c>
      <c r="C13" s="4">
        <v>699</v>
      </c>
      <c r="D13" s="3" t="s">
        <v>1</v>
      </c>
      <c r="E13" s="3" t="s">
        <v>218</v>
      </c>
      <c r="F13" s="3" t="s">
        <v>269</v>
      </c>
      <c r="G13" s="3" t="s">
        <v>220</v>
      </c>
      <c r="H13" s="3" t="s">
        <v>41</v>
      </c>
      <c r="I13" s="3" t="s">
        <v>270</v>
      </c>
      <c r="J13" s="3" t="s">
        <v>22</v>
      </c>
      <c r="K13" s="3" t="s">
        <v>23</v>
      </c>
      <c r="L13" s="5" t="s">
        <v>271</v>
      </c>
    </row>
    <row r="14" spans="1:12" x14ac:dyDescent="0.3">
      <c r="A14" s="3" t="s">
        <v>272</v>
      </c>
      <c r="B14" s="3" t="s">
        <v>273</v>
      </c>
      <c r="C14" s="4">
        <v>899</v>
      </c>
      <c r="D14" s="3" t="s">
        <v>1</v>
      </c>
      <c r="E14" s="3" t="s">
        <v>218</v>
      </c>
      <c r="F14" s="3" t="s">
        <v>269</v>
      </c>
      <c r="G14" s="3" t="s">
        <v>229</v>
      </c>
      <c r="H14" s="3" t="s">
        <v>20</v>
      </c>
      <c r="I14" s="3" t="s">
        <v>274</v>
      </c>
      <c r="J14" s="3" t="s">
        <v>22</v>
      </c>
      <c r="K14" s="3" t="s">
        <v>23</v>
      </c>
      <c r="L14" s="5" t="s">
        <v>271</v>
      </c>
    </row>
    <row r="15" spans="1:12" x14ac:dyDescent="0.3">
      <c r="A15" s="3" t="s">
        <v>275</v>
      </c>
      <c r="B15" s="3" t="s">
        <v>276</v>
      </c>
      <c r="C15" s="4">
        <v>699</v>
      </c>
      <c r="D15" s="3" t="s">
        <v>1</v>
      </c>
      <c r="E15" s="3" t="s">
        <v>277</v>
      </c>
      <c r="F15" s="3" t="s">
        <v>278</v>
      </c>
      <c r="G15" s="3" t="s">
        <v>279</v>
      </c>
      <c r="H15" s="3" t="s">
        <v>68</v>
      </c>
      <c r="I15" s="3" t="s">
        <v>280</v>
      </c>
      <c r="J15" s="3" t="s">
        <v>22</v>
      </c>
      <c r="K15" s="3" t="s">
        <v>23</v>
      </c>
      <c r="L15" s="5" t="s">
        <v>281</v>
      </c>
    </row>
    <row r="16" spans="1:12" x14ac:dyDescent="0.3">
      <c r="A16" s="3" t="s">
        <v>282</v>
      </c>
      <c r="B16" s="3" t="s">
        <v>283</v>
      </c>
      <c r="C16" s="4">
        <v>699</v>
      </c>
      <c r="D16" s="3" t="s">
        <v>1</v>
      </c>
      <c r="E16" s="3" t="s">
        <v>277</v>
      </c>
      <c r="F16" s="3" t="s">
        <v>278</v>
      </c>
      <c r="G16" s="3" t="s">
        <v>279</v>
      </c>
      <c r="H16" s="3" t="s">
        <v>284</v>
      </c>
      <c r="I16" s="3" t="s">
        <v>285</v>
      </c>
      <c r="J16" s="3" t="s">
        <v>22</v>
      </c>
      <c r="K16" s="3" t="s">
        <v>23</v>
      </c>
      <c r="L16" s="5" t="s">
        <v>281</v>
      </c>
    </row>
    <row r="17" spans="1:12" x14ac:dyDescent="0.3">
      <c r="A17" s="3" t="s">
        <v>286</v>
      </c>
      <c r="B17" s="3" t="s">
        <v>287</v>
      </c>
      <c r="C17" s="4">
        <v>799</v>
      </c>
      <c r="D17" s="3" t="s">
        <v>1</v>
      </c>
      <c r="E17" s="3" t="s">
        <v>277</v>
      </c>
      <c r="F17" s="3" t="s">
        <v>278</v>
      </c>
      <c r="G17" s="3" t="s">
        <v>288</v>
      </c>
      <c r="H17" s="3" t="s">
        <v>289</v>
      </c>
      <c r="I17" s="3" t="s">
        <v>290</v>
      </c>
      <c r="J17" s="3" t="s">
        <v>22</v>
      </c>
      <c r="K17" s="3" t="s">
        <v>23</v>
      </c>
      <c r="L17" s="5" t="s">
        <v>281</v>
      </c>
    </row>
    <row r="18" spans="1:12" x14ac:dyDescent="0.3">
      <c r="A18" s="3" t="s">
        <v>291</v>
      </c>
      <c r="B18" s="3" t="s">
        <v>292</v>
      </c>
      <c r="C18" s="4">
        <v>1299</v>
      </c>
      <c r="D18" s="3" t="s">
        <v>1</v>
      </c>
      <c r="E18" s="3" t="s">
        <v>277</v>
      </c>
      <c r="F18" s="3" t="s">
        <v>293</v>
      </c>
      <c r="G18" s="3" t="s">
        <v>294</v>
      </c>
      <c r="H18" s="3" t="s">
        <v>295</v>
      </c>
      <c r="I18" s="3" t="s">
        <v>296</v>
      </c>
      <c r="J18" s="3" t="s">
        <v>22</v>
      </c>
      <c r="K18" s="3" t="s">
        <v>23</v>
      </c>
      <c r="L18" s="5" t="s">
        <v>297</v>
      </c>
    </row>
    <row r="19" spans="1:12" x14ac:dyDescent="0.3">
      <c r="A19" s="3" t="s">
        <v>298</v>
      </c>
      <c r="B19" s="3" t="s">
        <v>299</v>
      </c>
      <c r="C19" s="4">
        <v>1299</v>
      </c>
      <c r="D19" s="3" t="s">
        <v>1</v>
      </c>
      <c r="E19" s="3" t="s">
        <v>277</v>
      </c>
      <c r="F19" s="3" t="s">
        <v>293</v>
      </c>
      <c r="G19" s="3" t="s">
        <v>294</v>
      </c>
      <c r="H19" s="3" t="s">
        <v>248</v>
      </c>
      <c r="I19" s="3" t="s">
        <v>300</v>
      </c>
      <c r="J19" s="3" t="s">
        <v>22</v>
      </c>
      <c r="K19" s="3" t="s">
        <v>23</v>
      </c>
      <c r="L19" s="5" t="s">
        <v>297</v>
      </c>
    </row>
    <row r="20" spans="1:12" x14ac:dyDescent="0.3">
      <c r="A20" s="3" t="s">
        <v>301</v>
      </c>
      <c r="B20" s="3" t="s">
        <v>302</v>
      </c>
      <c r="C20" s="4">
        <v>1799</v>
      </c>
      <c r="D20" s="3" t="s">
        <v>1</v>
      </c>
      <c r="E20" s="3" t="s">
        <v>277</v>
      </c>
      <c r="F20" s="3" t="s">
        <v>293</v>
      </c>
      <c r="G20" s="3" t="s">
        <v>303</v>
      </c>
      <c r="H20" s="3" t="s">
        <v>68</v>
      </c>
      <c r="I20" s="3" t="s">
        <v>304</v>
      </c>
      <c r="J20" s="3" t="s">
        <v>22</v>
      </c>
      <c r="K20" s="3" t="s">
        <v>23</v>
      </c>
      <c r="L20" s="5" t="s">
        <v>297</v>
      </c>
    </row>
    <row r="21" spans="1:12" x14ac:dyDescent="0.3">
      <c r="A21" s="3" t="s">
        <v>305</v>
      </c>
      <c r="B21" s="3" t="s">
        <v>306</v>
      </c>
      <c r="C21" s="4">
        <v>1499</v>
      </c>
      <c r="D21" s="3" t="s">
        <v>1</v>
      </c>
      <c r="E21" s="3" t="s">
        <v>277</v>
      </c>
      <c r="F21" s="3" t="s">
        <v>307</v>
      </c>
      <c r="G21" s="3" t="s">
        <v>308</v>
      </c>
      <c r="H21" s="3" t="s">
        <v>295</v>
      </c>
      <c r="I21" s="3" t="s">
        <v>309</v>
      </c>
      <c r="J21" s="3" t="s">
        <v>22</v>
      </c>
      <c r="K21" s="3" t="s">
        <v>23</v>
      </c>
      <c r="L21" s="5" t="s">
        <v>310</v>
      </c>
    </row>
    <row r="22" spans="1:12" x14ac:dyDescent="0.3">
      <c r="A22" s="3" t="s">
        <v>311</v>
      </c>
      <c r="B22" s="3" t="s">
        <v>312</v>
      </c>
      <c r="C22" s="4">
        <v>1999</v>
      </c>
      <c r="D22" s="3" t="s">
        <v>1</v>
      </c>
      <c r="E22" s="3" t="s">
        <v>277</v>
      </c>
      <c r="F22" s="3" t="s">
        <v>307</v>
      </c>
      <c r="G22" s="3" t="s">
        <v>313</v>
      </c>
      <c r="H22" s="3" t="s">
        <v>68</v>
      </c>
      <c r="I22" s="3" t="s">
        <v>314</v>
      </c>
      <c r="J22" s="3" t="s">
        <v>22</v>
      </c>
      <c r="K22" s="3" t="s">
        <v>23</v>
      </c>
      <c r="L22" s="5" t="s">
        <v>310</v>
      </c>
    </row>
    <row r="23" spans="1:12" x14ac:dyDescent="0.3">
      <c r="A23" s="3" t="s">
        <v>315</v>
      </c>
      <c r="B23" s="3" t="s">
        <v>316</v>
      </c>
      <c r="C23" s="4">
        <v>1999</v>
      </c>
      <c r="D23" s="3" t="s">
        <v>1</v>
      </c>
      <c r="E23" s="3" t="s">
        <v>277</v>
      </c>
      <c r="F23" s="3" t="s">
        <v>317</v>
      </c>
      <c r="G23" s="3" t="s">
        <v>318</v>
      </c>
      <c r="H23" s="3" t="s">
        <v>243</v>
      </c>
      <c r="I23" s="3" t="s">
        <v>319</v>
      </c>
      <c r="J23" s="3" t="s">
        <v>22</v>
      </c>
      <c r="K23" s="3" t="s">
        <v>23</v>
      </c>
      <c r="L23" s="5" t="s">
        <v>320</v>
      </c>
    </row>
    <row r="24" spans="1:12" x14ac:dyDescent="0.3">
      <c r="A24" s="3" t="s">
        <v>321</v>
      </c>
      <c r="B24" s="3" t="s">
        <v>322</v>
      </c>
      <c r="C24" s="4">
        <v>2199</v>
      </c>
      <c r="D24" s="3" t="s">
        <v>1</v>
      </c>
      <c r="E24" s="3" t="s">
        <v>277</v>
      </c>
      <c r="F24" s="3" t="s">
        <v>317</v>
      </c>
      <c r="G24" s="3" t="s">
        <v>303</v>
      </c>
      <c r="H24" s="3" t="s">
        <v>68</v>
      </c>
      <c r="I24" s="3" t="s">
        <v>323</v>
      </c>
      <c r="J24" s="3" t="s">
        <v>22</v>
      </c>
      <c r="K24" s="3" t="s">
        <v>23</v>
      </c>
      <c r="L24" s="5" t="s">
        <v>320</v>
      </c>
    </row>
    <row r="25" spans="1:12" x14ac:dyDescent="0.3">
      <c r="A25" s="3" t="s">
        <v>324</v>
      </c>
      <c r="B25" s="3" t="s">
        <v>325</v>
      </c>
      <c r="C25" s="4">
        <v>2499</v>
      </c>
      <c r="D25" s="3" t="s">
        <v>1</v>
      </c>
      <c r="E25" s="3" t="s">
        <v>277</v>
      </c>
      <c r="F25" s="3" t="s">
        <v>326</v>
      </c>
      <c r="G25" s="3" t="s">
        <v>327</v>
      </c>
      <c r="H25" s="3" t="s">
        <v>243</v>
      </c>
      <c r="I25" s="3" t="s">
        <v>328</v>
      </c>
      <c r="J25" s="3" t="s">
        <v>22</v>
      </c>
      <c r="K25" s="3" t="s">
        <v>23</v>
      </c>
      <c r="L25" s="5" t="s">
        <v>329</v>
      </c>
    </row>
    <row r="26" spans="1:12" x14ac:dyDescent="0.3">
      <c r="A26" s="3" t="s">
        <v>330</v>
      </c>
      <c r="B26" s="3" t="s">
        <v>331</v>
      </c>
      <c r="C26" s="4">
        <v>2999</v>
      </c>
      <c r="D26" s="3" t="s">
        <v>1</v>
      </c>
      <c r="E26" s="3" t="s">
        <v>277</v>
      </c>
      <c r="F26" s="3" t="s">
        <v>332</v>
      </c>
      <c r="G26" s="3" t="s">
        <v>333</v>
      </c>
      <c r="H26" s="3" t="s">
        <v>243</v>
      </c>
      <c r="I26" s="3" t="s">
        <v>334</v>
      </c>
      <c r="J26" s="3" t="s">
        <v>22</v>
      </c>
      <c r="K26" s="3" t="s">
        <v>23</v>
      </c>
      <c r="L26" s="5" t="s">
        <v>335</v>
      </c>
    </row>
    <row r="27" spans="1:12" x14ac:dyDescent="0.3">
      <c r="A27" s="3" t="s">
        <v>336</v>
      </c>
      <c r="B27" s="3" t="s">
        <v>337</v>
      </c>
      <c r="C27" s="4">
        <v>4999</v>
      </c>
      <c r="D27" s="3" t="s">
        <v>1</v>
      </c>
      <c r="E27" s="3" t="s">
        <v>277</v>
      </c>
      <c r="F27" s="3" t="s">
        <v>338</v>
      </c>
      <c r="G27" s="3" t="s">
        <v>339</v>
      </c>
      <c r="H27" s="3" t="s">
        <v>68</v>
      </c>
      <c r="I27" s="3" t="s">
        <v>340</v>
      </c>
      <c r="J27" s="3" t="s">
        <v>22</v>
      </c>
      <c r="K27" s="3" t="s">
        <v>23</v>
      </c>
      <c r="L27" s="5" t="s">
        <v>341</v>
      </c>
    </row>
    <row r="28" spans="1:12" x14ac:dyDescent="0.3">
      <c r="A28" s="3" t="s">
        <v>342</v>
      </c>
      <c r="B28" s="3" t="s">
        <v>343</v>
      </c>
      <c r="C28" s="4">
        <v>899</v>
      </c>
      <c r="D28" s="3" t="s">
        <v>1</v>
      </c>
      <c r="E28" s="3" t="s">
        <v>277</v>
      </c>
      <c r="F28" s="3" t="s">
        <v>344</v>
      </c>
      <c r="G28" s="3" t="s">
        <v>345</v>
      </c>
      <c r="H28" s="3" t="s">
        <v>68</v>
      </c>
      <c r="I28" s="3" t="s">
        <v>346</v>
      </c>
      <c r="J28" s="3" t="s">
        <v>22</v>
      </c>
      <c r="K28" s="3" t="s">
        <v>23</v>
      </c>
      <c r="L28" s="5" t="s">
        <v>347</v>
      </c>
    </row>
    <row r="29" spans="1:12" x14ac:dyDescent="0.3">
      <c r="A29" s="3" t="s">
        <v>348</v>
      </c>
      <c r="B29" s="3" t="s">
        <v>349</v>
      </c>
      <c r="C29" s="4">
        <v>1299</v>
      </c>
      <c r="D29" s="3" t="s">
        <v>1</v>
      </c>
      <c r="E29" s="3" t="s">
        <v>277</v>
      </c>
      <c r="F29" s="3" t="s">
        <v>344</v>
      </c>
      <c r="G29" s="3" t="s">
        <v>350</v>
      </c>
      <c r="H29" s="3" t="s">
        <v>68</v>
      </c>
      <c r="I29" s="3" t="s">
        <v>351</v>
      </c>
      <c r="J29" s="3" t="s">
        <v>22</v>
      </c>
      <c r="K29" s="3" t="s">
        <v>23</v>
      </c>
      <c r="L29" s="5" t="s">
        <v>347</v>
      </c>
    </row>
    <row r="30" spans="1:12" x14ac:dyDescent="0.3">
      <c r="A30" s="3" t="s">
        <v>352</v>
      </c>
      <c r="B30" s="3" t="s">
        <v>353</v>
      </c>
      <c r="C30" s="4">
        <v>1699</v>
      </c>
      <c r="D30" s="3" t="s">
        <v>1</v>
      </c>
      <c r="E30" s="3" t="s">
        <v>277</v>
      </c>
      <c r="F30" s="3" t="s">
        <v>354</v>
      </c>
      <c r="G30" s="3" t="s">
        <v>355</v>
      </c>
      <c r="H30" s="3" t="s">
        <v>356</v>
      </c>
      <c r="I30" s="3" t="s">
        <v>357</v>
      </c>
      <c r="J30" s="3" t="s">
        <v>22</v>
      </c>
      <c r="K30" s="3" t="s">
        <v>23</v>
      </c>
      <c r="L30" s="5" t="s">
        <v>358</v>
      </c>
    </row>
    <row r="31" spans="1:12" x14ac:dyDescent="0.3">
      <c r="A31" s="3" t="s">
        <v>359</v>
      </c>
      <c r="B31" s="3" t="s">
        <v>360</v>
      </c>
      <c r="C31" s="4">
        <v>1699</v>
      </c>
      <c r="D31" s="3" t="s">
        <v>1</v>
      </c>
      <c r="E31" s="3" t="s">
        <v>277</v>
      </c>
      <c r="F31" s="3" t="s">
        <v>354</v>
      </c>
      <c r="G31" s="3" t="s">
        <v>355</v>
      </c>
      <c r="H31" s="3" t="s">
        <v>68</v>
      </c>
      <c r="I31" s="3" t="s">
        <v>361</v>
      </c>
      <c r="J31" s="3" t="s">
        <v>22</v>
      </c>
      <c r="K31" s="3" t="s">
        <v>23</v>
      </c>
      <c r="L31" s="5" t="s">
        <v>358</v>
      </c>
    </row>
    <row r="32" spans="1:12" x14ac:dyDescent="0.3">
      <c r="A32" s="3" t="s">
        <v>362</v>
      </c>
      <c r="B32" s="3" t="s">
        <v>363</v>
      </c>
      <c r="C32" s="4">
        <v>449</v>
      </c>
      <c r="D32" s="3" t="s">
        <v>1</v>
      </c>
      <c r="E32" s="3" t="s">
        <v>364</v>
      </c>
      <c r="F32" s="3" t="s">
        <v>365</v>
      </c>
      <c r="G32" s="3" t="s">
        <v>366</v>
      </c>
      <c r="H32" s="3" t="s">
        <v>356</v>
      </c>
      <c r="I32" s="3" t="s">
        <v>367</v>
      </c>
      <c r="J32" s="3" t="s">
        <v>22</v>
      </c>
      <c r="K32" s="3" t="s">
        <v>23</v>
      </c>
      <c r="L32" s="5" t="s">
        <v>368</v>
      </c>
    </row>
    <row r="33" spans="1:12" x14ac:dyDescent="0.3">
      <c r="A33" s="3" t="s">
        <v>369</v>
      </c>
      <c r="B33" s="3" t="s">
        <v>370</v>
      </c>
      <c r="C33" s="4">
        <v>549</v>
      </c>
      <c r="D33" s="3" t="s">
        <v>1</v>
      </c>
      <c r="E33" s="3" t="s">
        <v>364</v>
      </c>
      <c r="F33" s="3" t="s">
        <v>365</v>
      </c>
      <c r="G33" s="3" t="s">
        <v>371</v>
      </c>
      <c r="H33" s="3" t="s">
        <v>68</v>
      </c>
      <c r="I33" s="3" t="s">
        <v>372</v>
      </c>
      <c r="J33" s="3" t="s">
        <v>22</v>
      </c>
      <c r="K33" s="3" t="s">
        <v>23</v>
      </c>
      <c r="L33" s="5" t="s">
        <v>368</v>
      </c>
    </row>
    <row r="34" spans="1:12" x14ac:dyDescent="0.3">
      <c r="A34" s="3" t="s">
        <v>373</v>
      </c>
      <c r="B34" s="3" t="s">
        <v>374</v>
      </c>
      <c r="C34" s="4">
        <v>599</v>
      </c>
      <c r="D34" s="3" t="s">
        <v>1</v>
      </c>
      <c r="E34" s="3" t="s">
        <v>364</v>
      </c>
      <c r="F34" s="3" t="s">
        <v>375</v>
      </c>
      <c r="G34" s="3" t="s">
        <v>366</v>
      </c>
      <c r="H34" s="3" t="s">
        <v>376</v>
      </c>
      <c r="I34" s="3" t="s">
        <v>377</v>
      </c>
      <c r="J34" s="3" t="s">
        <v>22</v>
      </c>
      <c r="K34" s="3" t="s">
        <v>23</v>
      </c>
      <c r="L34" s="5" t="s">
        <v>378</v>
      </c>
    </row>
    <row r="35" spans="1:12" x14ac:dyDescent="0.3">
      <c r="A35" s="3" t="s">
        <v>379</v>
      </c>
      <c r="B35" s="3" t="s">
        <v>380</v>
      </c>
      <c r="C35" s="4">
        <v>749</v>
      </c>
      <c r="D35" s="3" t="s">
        <v>1</v>
      </c>
      <c r="E35" s="3" t="s">
        <v>364</v>
      </c>
      <c r="F35" s="3" t="s">
        <v>381</v>
      </c>
      <c r="G35" s="3" t="s">
        <v>366</v>
      </c>
      <c r="H35" s="3" t="s">
        <v>376</v>
      </c>
      <c r="I35" s="3" t="s">
        <v>382</v>
      </c>
      <c r="J35" s="3" t="s">
        <v>22</v>
      </c>
      <c r="K35" s="3" t="s">
        <v>23</v>
      </c>
      <c r="L35" s="5" t="s">
        <v>383</v>
      </c>
    </row>
    <row r="36" spans="1:12" x14ac:dyDescent="0.3">
      <c r="A36" s="3" t="s">
        <v>384</v>
      </c>
      <c r="B36" s="3" t="s">
        <v>385</v>
      </c>
      <c r="C36" s="4">
        <v>849</v>
      </c>
      <c r="D36" s="3" t="s">
        <v>1</v>
      </c>
      <c r="E36" s="3" t="s">
        <v>364</v>
      </c>
      <c r="F36" s="3" t="s">
        <v>381</v>
      </c>
      <c r="G36" s="3" t="s">
        <v>371</v>
      </c>
      <c r="H36" s="3" t="s">
        <v>356</v>
      </c>
      <c r="I36" s="3" t="s">
        <v>386</v>
      </c>
      <c r="J36" s="3" t="s">
        <v>22</v>
      </c>
      <c r="K36" s="3" t="s">
        <v>23</v>
      </c>
      <c r="L36" s="5" t="s">
        <v>383</v>
      </c>
    </row>
    <row r="37" spans="1:12" x14ac:dyDescent="0.3">
      <c r="A37" s="3" t="s">
        <v>387</v>
      </c>
      <c r="B37" s="3" t="s">
        <v>388</v>
      </c>
      <c r="C37" s="4">
        <v>949</v>
      </c>
      <c r="D37" s="3" t="s">
        <v>1</v>
      </c>
      <c r="E37" s="3" t="s">
        <v>364</v>
      </c>
      <c r="F37" s="3" t="s">
        <v>389</v>
      </c>
      <c r="G37" s="3" t="s">
        <v>366</v>
      </c>
      <c r="H37" s="3" t="s">
        <v>390</v>
      </c>
      <c r="I37" s="3" t="s">
        <v>391</v>
      </c>
      <c r="J37" s="3" t="s">
        <v>22</v>
      </c>
      <c r="K37" s="3" t="s">
        <v>23</v>
      </c>
      <c r="L37" s="5" t="s">
        <v>392</v>
      </c>
    </row>
    <row r="38" spans="1:12" x14ac:dyDescent="0.3">
      <c r="A38" s="3" t="s">
        <v>393</v>
      </c>
      <c r="B38" s="3" t="s">
        <v>394</v>
      </c>
      <c r="C38" s="4">
        <v>1199</v>
      </c>
      <c r="D38" s="3" t="s">
        <v>1</v>
      </c>
      <c r="E38" s="3" t="s">
        <v>364</v>
      </c>
      <c r="F38" s="3" t="s">
        <v>395</v>
      </c>
      <c r="G38" s="3" t="s">
        <v>396</v>
      </c>
      <c r="H38" s="3" t="s">
        <v>243</v>
      </c>
      <c r="I38" s="3" t="s">
        <v>397</v>
      </c>
      <c r="J38" s="3" t="s">
        <v>22</v>
      </c>
      <c r="K38" s="3" t="s">
        <v>23</v>
      </c>
      <c r="L38" s="5" t="s">
        <v>398</v>
      </c>
    </row>
    <row r="39" spans="1:12" x14ac:dyDescent="0.3">
      <c r="A39" s="3" t="s">
        <v>399</v>
      </c>
      <c r="B39" s="3" t="s">
        <v>400</v>
      </c>
      <c r="C39" s="4">
        <v>1399</v>
      </c>
      <c r="D39" s="3" t="s">
        <v>1</v>
      </c>
      <c r="E39" s="3" t="s">
        <v>364</v>
      </c>
      <c r="F39" s="3" t="s">
        <v>395</v>
      </c>
      <c r="G39" s="3" t="s">
        <v>401</v>
      </c>
      <c r="H39" s="3" t="s">
        <v>68</v>
      </c>
      <c r="I39" s="3" t="s">
        <v>402</v>
      </c>
      <c r="J39" s="3" t="s">
        <v>22</v>
      </c>
      <c r="K39" s="3" t="s">
        <v>23</v>
      </c>
      <c r="L39" s="5" t="s">
        <v>398</v>
      </c>
    </row>
    <row r="40" spans="1:12" x14ac:dyDescent="0.3">
      <c r="A40" s="3" t="s">
        <v>403</v>
      </c>
      <c r="B40" s="3" t="s">
        <v>404</v>
      </c>
      <c r="C40" s="4">
        <v>1499</v>
      </c>
      <c r="D40" s="3" t="s">
        <v>1</v>
      </c>
      <c r="E40" s="3" t="s">
        <v>364</v>
      </c>
      <c r="F40" s="3" t="s">
        <v>405</v>
      </c>
      <c r="G40" s="3" t="s">
        <v>396</v>
      </c>
      <c r="H40" s="3" t="s">
        <v>243</v>
      </c>
      <c r="I40" s="3" t="s">
        <v>406</v>
      </c>
      <c r="J40" s="3" t="s">
        <v>22</v>
      </c>
      <c r="K40" s="3" t="s">
        <v>23</v>
      </c>
      <c r="L40" s="5" t="s">
        <v>407</v>
      </c>
    </row>
    <row r="41" spans="1:12" x14ac:dyDescent="0.3">
      <c r="A41" s="3" t="s">
        <v>408</v>
      </c>
      <c r="B41" s="3" t="s">
        <v>409</v>
      </c>
      <c r="C41" s="4">
        <v>2199</v>
      </c>
      <c r="D41" s="3" t="s">
        <v>1</v>
      </c>
      <c r="E41" s="3" t="s">
        <v>364</v>
      </c>
      <c r="F41" s="3" t="s">
        <v>405</v>
      </c>
      <c r="G41" s="3" t="s">
        <v>410</v>
      </c>
      <c r="H41" s="3" t="s">
        <v>68</v>
      </c>
      <c r="I41" s="3" t="s">
        <v>411</v>
      </c>
      <c r="J41" s="3" t="s">
        <v>22</v>
      </c>
      <c r="K41" s="3" t="s">
        <v>23</v>
      </c>
      <c r="L41" s="5" t="s">
        <v>407</v>
      </c>
    </row>
    <row r="42" spans="1:12" x14ac:dyDescent="0.3">
      <c r="A42" s="3" t="s">
        <v>412</v>
      </c>
      <c r="B42" s="3" t="s">
        <v>413</v>
      </c>
      <c r="C42" s="4">
        <v>399</v>
      </c>
      <c r="D42" s="3" t="s">
        <v>1</v>
      </c>
      <c r="E42" s="3" t="s">
        <v>414</v>
      </c>
      <c r="F42" s="3" t="s">
        <v>415</v>
      </c>
      <c r="G42" s="3" t="s">
        <v>416</v>
      </c>
      <c r="H42" s="3" t="s">
        <v>20</v>
      </c>
      <c r="I42" s="3" t="s">
        <v>417</v>
      </c>
      <c r="J42" s="3" t="s">
        <v>22</v>
      </c>
      <c r="K42" s="3" t="s">
        <v>23</v>
      </c>
      <c r="L42" s="5" t="s">
        <v>418</v>
      </c>
    </row>
    <row r="43" spans="1:12" x14ac:dyDescent="0.3">
      <c r="A43" s="3" t="s">
        <v>419</v>
      </c>
      <c r="B43" s="3" t="s">
        <v>420</v>
      </c>
      <c r="C43" s="4">
        <v>449</v>
      </c>
      <c r="D43" s="3" t="s">
        <v>1</v>
      </c>
      <c r="E43" s="3" t="s">
        <v>414</v>
      </c>
      <c r="F43" s="3" t="s">
        <v>415</v>
      </c>
      <c r="G43" s="3" t="s">
        <v>421</v>
      </c>
      <c r="H43" s="3" t="s">
        <v>20</v>
      </c>
      <c r="I43" s="3" t="s">
        <v>422</v>
      </c>
      <c r="J43" s="3" t="s">
        <v>22</v>
      </c>
      <c r="K43" s="3" t="s">
        <v>23</v>
      </c>
      <c r="L43" s="5" t="s">
        <v>423</v>
      </c>
    </row>
    <row r="44" spans="1:12" x14ac:dyDescent="0.3">
      <c r="A44" s="3" t="s">
        <v>424</v>
      </c>
      <c r="B44" s="3" t="s">
        <v>425</v>
      </c>
      <c r="C44" s="4">
        <v>799</v>
      </c>
      <c r="D44" s="3" t="s">
        <v>1</v>
      </c>
      <c r="E44" s="3" t="s">
        <v>414</v>
      </c>
      <c r="F44" s="3" t="s">
        <v>426</v>
      </c>
      <c r="G44" s="3" t="s">
        <v>427</v>
      </c>
      <c r="H44" s="3" t="s">
        <v>20</v>
      </c>
      <c r="I44" s="3" t="s">
        <v>428</v>
      </c>
      <c r="J44" s="3" t="s">
        <v>22</v>
      </c>
      <c r="K44" s="3" t="s">
        <v>23</v>
      </c>
      <c r="L44" s="5" t="s">
        <v>429</v>
      </c>
    </row>
    <row r="45" spans="1:12" x14ac:dyDescent="0.3">
      <c r="A45" s="3" t="s">
        <v>430</v>
      </c>
      <c r="B45" s="3" t="s">
        <v>431</v>
      </c>
      <c r="C45" s="4">
        <v>249</v>
      </c>
      <c r="D45" s="3" t="s">
        <v>1</v>
      </c>
      <c r="E45" s="3" t="s">
        <v>414</v>
      </c>
      <c r="F45" s="3" t="s">
        <v>432</v>
      </c>
      <c r="G45" s="3" t="s">
        <v>433</v>
      </c>
      <c r="H45" s="3" t="s">
        <v>295</v>
      </c>
      <c r="I45" s="3" t="s">
        <v>434</v>
      </c>
      <c r="J45" s="3" t="s">
        <v>22</v>
      </c>
      <c r="K45" s="3" t="s">
        <v>23</v>
      </c>
      <c r="L45" s="5" t="s">
        <v>435</v>
      </c>
    </row>
    <row r="46" spans="1:12" x14ac:dyDescent="0.3">
      <c r="A46" s="3" t="s">
        <v>436</v>
      </c>
      <c r="B46" s="3" t="s">
        <v>437</v>
      </c>
      <c r="C46" s="4">
        <v>249</v>
      </c>
      <c r="D46" s="3" t="s">
        <v>1</v>
      </c>
      <c r="E46" s="3" t="s">
        <v>438</v>
      </c>
      <c r="F46" s="3" t="s">
        <v>436</v>
      </c>
      <c r="G46" s="3" t="s">
        <v>439</v>
      </c>
      <c r="H46" s="3" t="s">
        <v>41</v>
      </c>
      <c r="I46" s="3" t="s">
        <v>440</v>
      </c>
      <c r="J46" s="3" t="s">
        <v>22</v>
      </c>
      <c r="K46" s="3" t="s">
        <v>23</v>
      </c>
      <c r="L46" s="5" t="s">
        <v>441</v>
      </c>
    </row>
    <row r="47" spans="1:12" x14ac:dyDescent="0.3">
      <c r="A47" s="3" t="s">
        <v>442</v>
      </c>
      <c r="B47" s="3" t="s">
        <v>443</v>
      </c>
      <c r="C47" s="4">
        <v>179</v>
      </c>
      <c r="D47" s="3" t="s">
        <v>1</v>
      </c>
      <c r="E47" s="3" t="s">
        <v>438</v>
      </c>
      <c r="F47" s="3" t="s">
        <v>444</v>
      </c>
      <c r="G47" s="3" t="s">
        <v>445</v>
      </c>
      <c r="H47" s="3" t="s">
        <v>41</v>
      </c>
      <c r="I47" s="3" t="s">
        <v>446</v>
      </c>
      <c r="J47" s="3" t="s">
        <v>22</v>
      </c>
      <c r="K47" s="3" t="s">
        <v>23</v>
      </c>
      <c r="L47" s="5" t="s">
        <v>447</v>
      </c>
    </row>
    <row r="48" spans="1:12" x14ac:dyDescent="0.3">
      <c r="A48" s="3" t="s">
        <v>448</v>
      </c>
      <c r="B48" s="3" t="s">
        <v>449</v>
      </c>
      <c r="C48" s="4">
        <v>549</v>
      </c>
      <c r="D48" s="3" t="s">
        <v>1</v>
      </c>
      <c r="E48" s="3" t="s">
        <v>438</v>
      </c>
      <c r="F48" s="3" t="s">
        <v>450</v>
      </c>
      <c r="G48" s="3" t="s">
        <v>451</v>
      </c>
      <c r="H48" s="3" t="s">
        <v>295</v>
      </c>
      <c r="I48" s="3" t="s">
        <v>452</v>
      </c>
      <c r="J48" s="3" t="s">
        <v>22</v>
      </c>
      <c r="K48" s="3" t="s">
        <v>23</v>
      </c>
      <c r="L48" s="5" t="s">
        <v>453</v>
      </c>
    </row>
    <row r="49" spans="1:12" x14ac:dyDescent="0.3">
      <c r="A49" s="3" t="s">
        <v>454</v>
      </c>
      <c r="B49" s="3" t="s">
        <v>455</v>
      </c>
      <c r="C49" s="4">
        <v>99</v>
      </c>
      <c r="D49" s="3" t="s">
        <v>1</v>
      </c>
      <c r="E49" s="3" t="s">
        <v>438</v>
      </c>
      <c r="F49" s="3" t="s">
        <v>456</v>
      </c>
      <c r="G49" s="3" t="s">
        <v>457</v>
      </c>
      <c r="H49" s="3" t="s">
        <v>41</v>
      </c>
      <c r="I49" s="3" t="s">
        <v>458</v>
      </c>
      <c r="J49" s="3" t="s">
        <v>22</v>
      </c>
      <c r="K49" s="3" t="s">
        <v>23</v>
      </c>
      <c r="L49" s="5" t="s">
        <v>459</v>
      </c>
    </row>
    <row r="50" spans="1:12" x14ac:dyDescent="0.3">
      <c r="A50" s="3" t="s">
        <v>460</v>
      </c>
      <c r="B50" s="3" t="s">
        <v>461</v>
      </c>
      <c r="C50" s="4">
        <v>129</v>
      </c>
      <c r="D50" s="3" t="s">
        <v>1</v>
      </c>
      <c r="E50" s="3" t="s">
        <v>438</v>
      </c>
      <c r="F50" s="3" t="s">
        <v>460</v>
      </c>
      <c r="G50" s="3" t="s">
        <v>462</v>
      </c>
      <c r="H50" s="3" t="s">
        <v>41</v>
      </c>
      <c r="I50" s="3" t="s">
        <v>463</v>
      </c>
      <c r="J50" s="3" t="s">
        <v>22</v>
      </c>
      <c r="K50" s="3" t="s">
        <v>23</v>
      </c>
      <c r="L50" s="5" t="s">
        <v>464</v>
      </c>
    </row>
    <row r="51" spans="1:12" x14ac:dyDescent="0.3">
      <c r="A51" s="3" t="s">
        <v>465</v>
      </c>
      <c r="B51" s="3" t="s">
        <v>466</v>
      </c>
      <c r="C51" s="4">
        <v>249</v>
      </c>
      <c r="D51" s="3" t="s">
        <v>1</v>
      </c>
      <c r="E51" s="3" t="s">
        <v>438</v>
      </c>
      <c r="F51" s="3" t="s">
        <v>467</v>
      </c>
      <c r="G51" s="3" t="s">
        <v>468</v>
      </c>
      <c r="H51" s="3" t="s">
        <v>20</v>
      </c>
      <c r="I51" s="3" t="s">
        <v>469</v>
      </c>
      <c r="J51" s="3" t="s">
        <v>22</v>
      </c>
      <c r="K51" s="3" t="s">
        <v>23</v>
      </c>
      <c r="L51" s="5" t="s">
        <v>470</v>
      </c>
    </row>
  </sheetData>
  <hyperlinks>
    <hyperlink ref="L2" r:id="rId1" xr:uid="{00000000-0004-0000-0200-000000000000}"/>
    <hyperlink ref="L3" r:id="rId2" xr:uid="{00000000-0004-0000-0200-000001000000}"/>
    <hyperlink ref="L4" r:id="rId3" xr:uid="{00000000-0004-0000-0200-000002000000}"/>
    <hyperlink ref="L5" r:id="rId4" xr:uid="{00000000-0004-0000-0200-000003000000}"/>
    <hyperlink ref="L6" r:id="rId5" xr:uid="{00000000-0004-0000-0200-000004000000}"/>
    <hyperlink ref="L7" r:id="rId6" xr:uid="{00000000-0004-0000-0200-000005000000}"/>
    <hyperlink ref="L8" r:id="rId7" xr:uid="{00000000-0004-0000-0200-000006000000}"/>
    <hyperlink ref="L9" r:id="rId8" xr:uid="{00000000-0004-0000-0200-000007000000}"/>
    <hyperlink ref="L10" r:id="rId9" xr:uid="{00000000-0004-0000-0200-000008000000}"/>
    <hyperlink ref="L11" r:id="rId10" xr:uid="{00000000-0004-0000-0200-000009000000}"/>
    <hyperlink ref="L12" r:id="rId11" xr:uid="{00000000-0004-0000-0200-00000A000000}"/>
    <hyperlink ref="L13" r:id="rId12" xr:uid="{00000000-0004-0000-0200-00000B000000}"/>
    <hyperlink ref="L14" r:id="rId13" xr:uid="{00000000-0004-0000-0200-00000C000000}"/>
    <hyperlink ref="L15" r:id="rId14" xr:uid="{00000000-0004-0000-0200-00000D000000}"/>
    <hyperlink ref="L16" r:id="rId15" xr:uid="{00000000-0004-0000-0200-00000E000000}"/>
    <hyperlink ref="L17" r:id="rId16" xr:uid="{00000000-0004-0000-0200-00000F000000}"/>
    <hyperlink ref="L18" r:id="rId17" xr:uid="{00000000-0004-0000-0200-000010000000}"/>
    <hyperlink ref="L19" r:id="rId18" xr:uid="{00000000-0004-0000-0200-000011000000}"/>
    <hyperlink ref="L20" r:id="rId19" xr:uid="{00000000-0004-0000-0200-000012000000}"/>
    <hyperlink ref="L21" r:id="rId20" xr:uid="{00000000-0004-0000-0200-000013000000}"/>
    <hyperlink ref="L22" r:id="rId21" xr:uid="{00000000-0004-0000-0200-000014000000}"/>
    <hyperlink ref="L23" r:id="rId22" xr:uid="{00000000-0004-0000-0200-000015000000}"/>
    <hyperlink ref="L24" r:id="rId23" xr:uid="{00000000-0004-0000-0200-000016000000}"/>
    <hyperlink ref="L25" r:id="rId24" xr:uid="{00000000-0004-0000-0200-000017000000}"/>
    <hyperlink ref="L26" r:id="rId25" xr:uid="{00000000-0004-0000-0200-000018000000}"/>
    <hyperlink ref="L27" r:id="rId26" xr:uid="{00000000-0004-0000-0200-000019000000}"/>
    <hyperlink ref="L28" r:id="rId27" xr:uid="{00000000-0004-0000-0200-00001A000000}"/>
    <hyperlink ref="L29" r:id="rId28" xr:uid="{00000000-0004-0000-0200-00001B000000}"/>
    <hyperlink ref="L30" r:id="rId29" xr:uid="{00000000-0004-0000-0200-00001C000000}"/>
    <hyperlink ref="L31" r:id="rId30" xr:uid="{00000000-0004-0000-0200-00001D000000}"/>
    <hyperlink ref="L32" r:id="rId31" xr:uid="{00000000-0004-0000-0200-00001E000000}"/>
    <hyperlink ref="L33" r:id="rId32" xr:uid="{00000000-0004-0000-0200-00001F000000}"/>
    <hyperlink ref="L34" r:id="rId33" xr:uid="{00000000-0004-0000-0200-000020000000}"/>
    <hyperlink ref="L35" r:id="rId34" xr:uid="{00000000-0004-0000-0200-000021000000}"/>
    <hyperlink ref="L36" r:id="rId35" xr:uid="{00000000-0004-0000-0200-000022000000}"/>
    <hyperlink ref="L37" r:id="rId36" xr:uid="{00000000-0004-0000-0200-000023000000}"/>
    <hyperlink ref="L38" r:id="rId37" xr:uid="{00000000-0004-0000-0200-000024000000}"/>
    <hyperlink ref="L39" r:id="rId38" xr:uid="{00000000-0004-0000-0200-000025000000}"/>
    <hyperlink ref="L40" r:id="rId39" xr:uid="{00000000-0004-0000-0200-000026000000}"/>
    <hyperlink ref="L41" r:id="rId40" xr:uid="{00000000-0004-0000-0200-000027000000}"/>
    <hyperlink ref="L42" r:id="rId41" xr:uid="{00000000-0004-0000-0200-000028000000}"/>
    <hyperlink ref="L43" r:id="rId42" xr:uid="{00000000-0004-0000-0200-000029000000}"/>
    <hyperlink ref="L44" r:id="rId43" xr:uid="{00000000-0004-0000-0200-00002A000000}"/>
    <hyperlink ref="L45" r:id="rId44" xr:uid="{00000000-0004-0000-0200-00002B000000}"/>
    <hyperlink ref="L46" r:id="rId45" xr:uid="{00000000-0004-0000-0200-00002C000000}"/>
    <hyperlink ref="L47" r:id="rId46" xr:uid="{00000000-0004-0000-0200-00002D000000}"/>
    <hyperlink ref="L48" r:id="rId47" xr:uid="{00000000-0004-0000-0200-00002E000000}"/>
    <hyperlink ref="L49" r:id="rId48" xr:uid="{00000000-0004-0000-0200-00002F000000}"/>
    <hyperlink ref="L50" r:id="rId49" xr:uid="{00000000-0004-0000-0200-000030000000}"/>
    <hyperlink ref="L51" r:id="rId50" xr:uid="{00000000-0004-0000-0200-000031000000}"/>
  </hyperlinks>
  <pageMargins left="0.75" right="0.75" top="1" bottom="1" header="0.511811023622047" footer="0.511811023622047"/>
  <pageSetup paperSize="9" orientation="portrait" horizontalDpi="300" verticalDpi="300"/>
  <tableParts count="1">
    <tablePart r:id="rId5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4"/>
  <sheetViews>
    <sheetView zoomScaleNormal="100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L1" sqref="L1"/>
    </sheetView>
  </sheetViews>
  <sheetFormatPr defaultColWidth="8.6640625" defaultRowHeight="14.4" x14ac:dyDescent="0.3"/>
  <cols>
    <col min="1" max="1" width="52" style="1" customWidth="1"/>
    <col min="2" max="2" width="18" style="1" customWidth="1"/>
    <col min="3" max="3" width="16" style="1" customWidth="1"/>
    <col min="4" max="4" width="10" style="1" customWidth="1"/>
    <col min="5" max="5" width="20" style="1" customWidth="1"/>
    <col min="6" max="6" width="24" style="1" customWidth="1"/>
    <col min="7" max="7" width="36" style="1" customWidth="1"/>
    <col min="8" max="8" width="16" style="1" customWidth="1"/>
    <col min="9" max="9" width="12" style="1" customWidth="1"/>
    <col min="10" max="10" width="9" style="1" customWidth="1"/>
    <col min="11" max="11" width="16" style="1" customWidth="1"/>
    <col min="12" max="12" width="60" style="1" customWidth="1"/>
    <col min="13" max="16384" width="8.6640625" style="1"/>
  </cols>
  <sheetData>
    <row r="1" spans="1:12" ht="30" customHeight="1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</row>
    <row r="2" spans="1:12" x14ac:dyDescent="0.3">
      <c r="A2" s="3" t="s">
        <v>471</v>
      </c>
      <c r="B2" s="3" t="s">
        <v>472</v>
      </c>
      <c r="C2" s="4">
        <v>1299.99</v>
      </c>
      <c r="D2" s="3" t="s">
        <v>2</v>
      </c>
      <c r="E2" s="3" t="s">
        <v>473</v>
      </c>
      <c r="F2" s="3" t="s">
        <v>474</v>
      </c>
      <c r="G2" s="3" t="s">
        <v>220</v>
      </c>
      <c r="H2" s="3" t="s">
        <v>20</v>
      </c>
      <c r="I2" s="3" t="s">
        <v>475</v>
      </c>
      <c r="J2" s="3" t="s">
        <v>22</v>
      </c>
      <c r="K2" s="3" t="s">
        <v>23</v>
      </c>
      <c r="L2" s="5" t="s">
        <v>476</v>
      </c>
    </row>
    <row r="3" spans="1:12" x14ac:dyDescent="0.3">
      <c r="A3" s="3" t="s">
        <v>477</v>
      </c>
      <c r="B3" s="3" t="s">
        <v>478</v>
      </c>
      <c r="C3" s="4">
        <v>1299.99</v>
      </c>
      <c r="D3" s="3" t="s">
        <v>2</v>
      </c>
      <c r="E3" s="3" t="s">
        <v>473</v>
      </c>
      <c r="F3" s="3" t="s">
        <v>474</v>
      </c>
      <c r="G3" s="3" t="s">
        <v>220</v>
      </c>
      <c r="H3" s="3" t="s">
        <v>68</v>
      </c>
      <c r="I3" s="3" t="s">
        <v>479</v>
      </c>
      <c r="J3" s="3" t="s">
        <v>22</v>
      </c>
      <c r="K3" s="3" t="s">
        <v>23</v>
      </c>
      <c r="L3" s="5" t="s">
        <v>480</v>
      </c>
    </row>
    <row r="4" spans="1:12" x14ac:dyDescent="0.3">
      <c r="A4" s="3" t="s">
        <v>481</v>
      </c>
      <c r="B4" s="3" t="s">
        <v>482</v>
      </c>
      <c r="C4" s="4">
        <v>1499.99</v>
      </c>
      <c r="D4" s="3" t="s">
        <v>2</v>
      </c>
      <c r="E4" s="3" t="s">
        <v>473</v>
      </c>
      <c r="F4" s="3" t="s">
        <v>474</v>
      </c>
      <c r="G4" s="3" t="s">
        <v>229</v>
      </c>
      <c r="H4" s="3" t="s">
        <v>20</v>
      </c>
      <c r="I4" s="3" t="s">
        <v>483</v>
      </c>
      <c r="J4" s="3" t="s">
        <v>22</v>
      </c>
      <c r="K4" s="3" t="s">
        <v>23</v>
      </c>
      <c r="L4" s="5" t="s">
        <v>484</v>
      </c>
    </row>
    <row r="5" spans="1:12" x14ac:dyDescent="0.3">
      <c r="A5" s="3" t="s">
        <v>485</v>
      </c>
      <c r="B5" s="3" t="s">
        <v>486</v>
      </c>
      <c r="C5" s="4">
        <v>1499.99</v>
      </c>
      <c r="D5" s="3" t="s">
        <v>2</v>
      </c>
      <c r="E5" s="3" t="s">
        <v>473</v>
      </c>
      <c r="F5" s="3" t="s">
        <v>474</v>
      </c>
      <c r="G5" s="3" t="s">
        <v>229</v>
      </c>
      <c r="H5" s="3" t="s">
        <v>41</v>
      </c>
      <c r="I5" s="3" t="s">
        <v>487</v>
      </c>
      <c r="J5" s="3" t="s">
        <v>22</v>
      </c>
      <c r="K5" s="3" t="s">
        <v>23</v>
      </c>
      <c r="L5" s="5" t="s">
        <v>488</v>
      </c>
    </row>
    <row r="6" spans="1:12" x14ac:dyDescent="0.3">
      <c r="A6" s="3" t="s">
        <v>489</v>
      </c>
      <c r="B6" s="3" t="s">
        <v>490</v>
      </c>
      <c r="C6" s="4">
        <v>1099.99</v>
      </c>
      <c r="D6" s="3" t="s">
        <v>2</v>
      </c>
      <c r="E6" s="3" t="s">
        <v>473</v>
      </c>
      <c r="F6" s="3" t="s">
        <v>491</v>
      </c>
      <c r="G6" s="3" t="s">
        <v>220</v>
      </c>
      <c r="H6" s="3" t="s">
        <v>20</v>
      </c>
      <c r="I6" s="3" t="s">
        <v>492</v>
      </c>
      <c r="J6" s="3" t="s">
        <v>22</v>
      </c>
      <c r="K6" s="3" t="s">
        <v>23</v>
      </c>
      <c r="L6" s="5" t="s">
        <v>493</v>
      </c>
    </row>
    <row r="7" spans="1:12" x14ac:dyDescent="0.3">
      <c r="A7" s="3" t="s">
        <v>494</v>
      </c>
      <c r="B7" s="3" t="s">
        <v>495</v>
      </c>
      <c r="C7" s="4">
        <v>1299.99</v>
      </c>
      <c r="D7" s="3" t="s">
        <v>2</v>
      </c>
      <c r="E7" s="3" t="s">
        <v>473</v>
      </c>
      <c r="F7" s="3" t="s">
        <v>491</v>
      </c>
      <c r="G7" s="3" t="s">
        <v>229</v>
      </c>
      <c r="H7" s="3" t="s">
        <v>20</v>
      </c>
      <c r="I7" s="3" t="s">
        <v>496</v>
      </c>
      <c r="J7" s="3" t="s">
        <v>22</v>
      </c>
      <c r="K7" s="3" t="s">
        <v>23</v>
      </c>
      <c r="L7" s="5" t="s">
        <v>497</v>
      </c>
    </row>
    <row r="8" spans="1:12" x14ac:dyDescent="0.3">
      <c r="A8" s="3" t="s">
        <v>498</v>
      </c>
      <c r="B8" s="3" t="s">
        <v>499</v>
      </c>
      <c r="C8" s="4">
        <v>899.99</v>
      </c>
      <c r="D8" s="3" t="s">
        <v>2</v>
      </c>
      <c r="E8" s="3" t="s">
        <v>473</v>
      </c>
      <c r="F8" s="3" t="s">
        <v>500</v>
      </c>
      <c r="G8" s="3" t="s">
        <v>220</v>
      </c>
      <c r="H8" s="3" t="s">
        <v>20</v>
      </c>
      <c r="I8" s="3" t="s">
        <v>501</v>
      </c>
      <c r="J8" s="3" t="s">
        <v>22</v>
      </c>
      <c r="K8" s="3" t="s">
        <v>23</v>
      </c>
      <c r="L8" s="5" t="s">
        <v>502</v>
      </c>
    </row>
    <row r="9" spans="1:12" x14ac:dyDescent="0.3">
      <c r="A9" s="3" t="s">
        <v>503</v>
      </c>
      <c r="B9" s="3" t="s">
        <v>504</v>
      </c>
      <c r="C9" s="4">
        <v>899.99</v>
      </c>
      <c r="D9" s="3" t="s">
        <v>2</v>
      </c>
      <c r="E9" s="3" t="s">
        <v>473</v>
      </c>
      <c r="F9" s="3" t="s">
        <v>500</v>
      </c>
      <c r="G9" s="3" t="s">
        <v>220</v>
      </c>
      <c r="H9" s="3" t="s">
        <v>356</v>
      </c>
      <c r="I9" s="3" t="s">
        <v>505</v>
      </c>
      <c r="J9" s="3" t="s">
        <v>22</v>
      </c>
      <c r="K9" s="3" t="s">
        <v>23</v>
      </c>
      <c r="L9" s="5" t="s">
        <v>506</v>
      </c>
    </row>
    <row r="10" spans="1:12" x14ac:dyDescent="0.3">
      <c r="A10" s="3" t="s">
        <v>507</v>
      </c>
      <c r="B10" s="3" t="s">
        <v>508</v>
      </c>
      <c r="C10" s="4">
        <v>699.99</v>
      </c>
      <c r="D10" s="3" t="s">
        <v>2</v>
      </c>
      <c r="E10" s="3" t="s">
        <v>473</v>
      </c>
      <c r="F10" s="3" t="s">
        <v>509</v>
      </c>
      <c r="G10" s="3" t="s">
        <v>510</v>
      </c>
      <c r="H10" s="3" t="s">
        <v>511</v>
      </c>
      <c r="I10" s="3" t="s">
        <v>512</v>
      </c>
      <c r="J10" s="3" t="s">
        <v>22</v>
      </c>
      <c r="K10" s="3" t="s">
        <v>23</v>
      </c>
      <c r="L10" s="5" t="s">
        <v>513</v>
      </c>
    </row>
    <row r="11" spans="1:12" x14ac:dyDescent="0.3">
      <c r="A11" s="3" t="s">
        <v>514</v>
      </c>
      <c r="B11" s="3" t="s">
        <v>515</v>
      </c>
      <c r="C11" s="4">
        <v>799.99</v>
      </c>
      <c r="D11" s="3" t="s">
        <v>2</v>
      </c>
      <c r="E11" s="3" t="s">
        <v>473</v>
      </c>
      <c r="F11" s="3" t="s">
        <v>509</v>
      </c>
      <c r="G11" s="3" t="s">
        <v>220</v>
      </c>
      <c r="H11" s="3" t="s">
        <v>511</v>
      </c>
      <c r="I11" s="3" t="s">
        <v>516</v>
      </c>
      <c r="J11" s="3" t="s">
        <v>22</v>
      </c>
      <c r="K11" s="3" t="s">
        <v>23</v>
      </c>
      <c r="L11" s="5" t="s">
        <v>517</v>
      </c>
    </row>
    <row r="12" spans="1:12" x14ac:dyDescent="0.3">
      <c r="A12" s="3" t="s">
        <v>518</v>
      </c>
      <c r="B12" s="3" t="s">
        <v>519</v>
      </c>
      <c r="C12" s="4">
        <v>549.99</v>
      </c>
      <c r="D12" s="3" t="s">
        <v>2</v>
      </c>
      <c r="E12" s="3" t="s">
        <v>473</v>
      </c>
      <c r="F12" s="3" t="s">
        <v>520</v>
      </c>
      <c r="G12" s="3" t="s">
        <v>510</v>
      </c>
      <c r="H12" s="3" t="s">
        <v>521</v>
      </c>
      <c r="I12" s="3" t="s">
        <v>522</v>
      </c>
      <c r="J12" s="3" t="s">
        <v>22</v>
      </c>
      <c r="K12" s="3" t="s">
        <v>23</v>
      </c>
      <c r="L12" s="5" t="s">
        <v>523</v>
      </c>
    </row>
    <row r="13" spans="1:12" x14ac:dyDescent="0.3">
      <c r="A13" s="3" t="s">
        <v>524</v>
      </c>
      <c r="B13" s="3" t="s">
        <v>525</v>
      </c>
      <c r="C13" s="4">
        <v>449.99</v>
      </c>
      <c r="D13" s="3" t="s">
        <v>2</v>
      </c>
      <c r="E13" s="3" t="s">
        <v>473</v>
      </c>
      <c r="F13" s="3" t="s">
        <v>526</v>
      </c>
      <c r="G13" s="3" t="s">
        <v>510</v>
      </c>
      <c r="H13" s="3" t="s">
        <v>527</v>
      </c>
      <c r="I13" s="3" t="s">
        <v>528</v>
      </c>
      <c r="J13" s="3" t="s">
        <v>22</v>
      </c>
      <c r="K13" s="3" t="s">
        <v>23</v>
      </c>
      <c r="L13" s="5" t="s">
        <v>529</v>
      </c>
    </row>
    <row r="14" spans="1:12" x14ac:dyDescent="0.3">
      <c r="A14" s="3" t="s">
        <v>530</v>
      </c>
      <c r="B14" s="3" t="s">
        <v>531</v>
      </c>
      <c r="C14" s="4">
        <v>2099.9899999999998</v>
      </c>
      <c r="D14" s="3" t="s">
        <v>2</v>
      </c>
      <c r="E14" s="3" t="s">
        <v>473</v>
      </c>
      <c r="F14" s="3" t="s">
        <v>532</v>
      </c>
      <c r="G14" s="3" t="s">
        <v>220</v>
      </c>
      <c r="H14" s="3" t="s">
        <v>511</v>
      </c>
      <c r="I14" s="3" t="s">
        <v>533</v>
      </c>
      <c r="J14" s="3" t="s">
        <v>22</v>
      </c>
      <c r="K14" s="3" t="s">
        <v>23</v>
      </c>
      <c r="L14" s="5" t="s">
        <v>534</v>
      </c>
    </row>
    <row r="15" spans="1:12" x14ac:dyDescent="0.3">
      <c r="A15" s="3" t="s">
        <v>535</v>
      </c>
      <c r="B15" s="3" t="s">
        <v>536</v>
      </c>
      <c r="C15" s="4">
        <v>2299.9899999999998</v>
      </c>
      <c r="D15" s="3" t="s">
        <v>2</v>
      </c>
      <c r="E15" s="3" t="s">
        <v>473</v>
      </c>
      <c r="F15" s="3" t="s">
        <v>532</v>
      </c>
      <c r="G15" s="3" t="s">
        <v>229</v>
      </c>
      <c r="H15" s="3" t="s">
        <v>511</v>
      </c>
      <c r="I15" s="3" t="s">
        <v>537</v>
      </c>
      <c r="J15" s="3" t="s">
        <v>22</v>
      </c>
      <c r="K15" s="3" t="s">
        <v>23</v>
      </c>
      <c r="L15" s="5" t="s">
        <v>538</v>
      </c>
    </row>
    <row r="16" spans="1:12" x14ac:dyDescent="0.3">
      <c r="A16" s="3" t="s">
        <v>539</v>
      </c>
      <c r="B16" s="3" t="s">
        <v>540</v>
      </c>
      <c r="C16" s="4">
        <v>2699.99</v>
      </c>
      <c r="D16" s="3" t="s">
        <v>2</v>
      </c>
      <c r="E16" s="3" t="s">
        <v>473</v>
      </c>
      <c r="F16" s="3" t="s">
        <v>532</v>
      </c>
      <c r="G16" s="3" t="s">
        <v>233</v>
      </c>
      <c r="H16" s="3" t="s">
        <v>541</v>
      </c>
      <c r="I16" s="3" t="s">
        <v>542</v>
      </c>
      <c r="J16" s="3" t="s">
        <v>22</v>
      </c>
      <c r="K16" s="3" t="s">
        <v>23</v>
      </c>
      <c r="L16" s="5" t="s">
        <v>543</v>
      </c>
    </row>
    <row r="17" spans="1:12" x14ac:dyDescent="0.3">
      <c r="A17" s="3" t="s">
        <v>544</v>
      </c>
      <c r="B17" s="3" t="s">
        <v>545</v>
      </c>
      <c r="C17" s="4">
        <v>1899.99</v>
      </c>
      <c r="D17" s="3" t="s">
        <v>2</v>
      </c>
      <c r="E17" s="3" t="s">
        <v>473</v>
      </c>
      <c r="F17" s="3" t="s">
        <v>546</v>
      </c>
      <c r="G17" s="3" t="s">
        <v>220</v>
      </c>
      <c r="H17" s="3" t="s">
        <v>511</v>
      </c>
      <c r="I17" s="3" t="s">
        <v>547</v>
      </c>
      <c r="J17" s="3" t="s">
        <v>22</v>
      </c>
      <c r="K17" s="3" t="s">
        <v>23</v>
      </c>
      <c r="L17" s="5" t="s">
        <v>548</v>
      </c>
    </row>
    <row r="18" spans="1:12" x14ac:dyDescent="0.3">
      <c r="A18" s="3" t="s">
        <v>549</v>
      </c>
      <c r="B18" s="3" t="s">
        <v>550</v>
      </c>
      <c r="C18" s="4">
        <v>1899.99</v>
      </c>
      <c r="D18" s="3" t="s">
        <v>2</v>
      </c>
      <c r="E18" s="3" t="s">
        <v>473</v>
      </c>
      <c r="F18" s="3" t="s">
        <v>546</v>
      </c>
      <c r="G18" s="3" t="s">
        <v>220</v>
      </c>
      <c r="H18" s="3" t="s">
        <v>261</v>
      </c>
      <c r="I18" s="3" t="s">
        <v>551</v>
      </c>
      <c r="J18" s="3" t="s">
        <v>22</v>
      </c>
      <c r="K18" s="3" t="s">
        <v>23</v>
      </c>
      <c r="L18" s="5" t="s">
        <v>552</v>
      </c>
    </row>
    <row r="19" spans="1:12" x14ac:dyDescent="0.3">
      <c r="A19" s="3" t="s">
        <v>553</v>
      </c>
      <c r="B19" s="3" t="s">
        <v>554</v>
      </c>
      <c r="C19" s="4">
        <v>1199.99</v>
      </c>
      <c r="D19" s="3" t="s">
        <v>2</v>
      </c>
      <c r="E19" s="3" t="s">
        <v>473</v>
      </c>
      <c r="F19" s="3" t="s">
        <v>555</v>
      </c>
      <c r="G19" s="3" t="s">
        <v>220</v>
      </c>
      <c r="H19" s="3" t="s">
        <v>556</v>
      </c>
      <c r="I19" s="3" t="s">
        <v>557</v>
      </c>
      <c r="J19" s="3" t="s">
        <v>22</v>
      </c>
      <c r="K19" s="3" t="s">
        <v>23</v>
      </c>
      <c r="L19" s="5" t="s">
        <v>558</v>
      </c>
    </row>
    <row r="20" spans="1:12" x14ac:dyDescent="0.3">
      <c r="A20" s="3" t="s">
        <v>559</v>
      </c>
      <c r="B20" s="3" t="s">
        <v>560</v>
      </c>
      <c r="C20" s="4">
        <v>1199.99</v>
      </c>
      <c r="D20" s="3" t="s">
        <v>2</v>
      </c>
      <c r="E20" s="3" t="s">
        <v>473</v>
      </c>
      <c r="F20" s="3" t="s">
        <v>555</v>
      </c>
      <c r="G20" s="3" t="s">
        <v>220</v>
      </c>
      <c r="H20" s="3" t="s">
        <v>561</v>
      </c>
      <c r="I20" s="3" t="s">
        <v>562</v>
      </c>
      <c r="J20" s="3" t="s">
        <v>22</v>
      </c>
      <c r="K20" s="3" t="s">
        <v>23</v>
      </c>
      <c r="L20" s="5" t="s">
        <v>563</v>
      </c>
    </row>
    <row r="21" spans="1:12" x14ac:dyDescent="0.3">
      <c r="A21" s="3" t="s">
        <v>564</v>
      </c>
      <c r="B21" s="3" t="s">
        <v>565</v>
      </c>
      <c r="C21" s="4">
        <v>1299.99</v>
      </c>
      <c r="D21" s="3" t="s">
        <v>2</v>
      </c>
      <c r="E21" s="3" t="s">
        <v>566</v>
      </c>
      <c r="F21" s="3" t="s">
        <v>567</v>
      </c>
      <c r="G21" s="3" t="s">
        <v>371</v>
      </c>
      <c r="H21" s="3" t="s">
        <v>568</v>
      </c>
      <c r="I21" s="3" t="s">
        <v>569</v>
      </c>
      <c r="J21" s="3" t="s">
        <v>22</v>
      </c>
      <c r="K21" s="3" t="s">
        <v>23</v>
      </c>
      <c r="L21" s="5" t="s">
        <v>570</v>
      </c>
    </row>
    <row r="22" spans="1:12" x14ac:dyDescent="0.3">
      <c r="A22" s="3" t="s">
        <v>571</v>
      </c>
      <c r="B22" s="3" t="s">
        <v>572</v>
      </c>
      <c r="C22" s="4">
        <v>1299.99</v>
      </c>
      <c r="D22" s="3" t="s">
        <v>2</v>
      </c>
      <c r="E22" s="3" t="s">
        <v>566</v>
      </c>
      <c r="F22" s="3" t="s">
        <v>567</v>
      </c>
      <c r="G22" s="3" t="s">
        <v>371</v>
      </c>
      <c r="H22" s="3" t="s">
        <v>68</v>
      </c>
      <c r="I22" s="3" t="s">
        <v>573</v>
      </c>
      <c r="J22" s="3" t="s">
        <v>22</v>
      </c>
      <c r="K22" s="3" t="s">
        <v>23</v>
      </c>
      <c r="L22" s="5" t="s">
        <v>574</v>
      </c>
    </row>
    <row r="23" spans="1:12" x14ac:dyDescent="0.3">
      <c r="A23" s="3" t="s">
        <v>575</v>
      </c>
      <c r="B23" s="3" t="s">
        <v>576</v>
      </c>
      <c r="C23" s="4">
        <v>1499.99</v>
      </c>
      <c r="D23" s="3" t="s">
        <v>2</v>
      </c>
      <c r="E23" s="3" t="s">
        <v>566</v>
      </c>
      <c r="F23" s="3" t="s">
        <v>567</v>
      </c>
      <c r="G23" s="3" t="s">
        <v>577</v>
      </c>
      <c r="H23" s="3" t="s">
        <v>568</v>
      </c>
      <c r="I23" s="3" t="s">
        <v>578</v>
      </c>
      <c r="J23" s="3" t="s">
        <v>22</v>
      </c>
      <c r="K23" s="3" t="s">
        <v>23</v>
      </c>
      <c r="L23" s="5" t="s">
        <v>579</v>
      </c>
    </row>
    <row r="24" spans="1:12" x14ac:dyDescent="0.3">
      <c r="A24" s="3" t="s">
        <v>580</v>
      </c>
      <c r="B24" s="3" t="s">
        <v>581</v>
      </c>
      <c r="C24" s="4">
        <v>1899.99</v>
      </c>
      <c r="D24" s="3" t="s">
        <v>2</v>
      </c>
      <c r="E24" s="3" t="s">
        <v>566</v>
      </c>
      <c r="F24" s="3" t="s">
        <v>567</v>
      </c>
      <c r="G24" s="3" t="s">
        <v>582</v>
      </c>
      <c r="H24" s="3" t="s">
        <v>568</v>
      </c>
      <c r="I24" s="3" t="s">
        <v>583</v>
      </c>
      <c r="J24" s="3" t="s">
        <v>22</v>
      </c>
      <c r="K24" s="3" t="s">
        <v>23</v>
      </c>
      <c r="L24" s="5" t="s">
        <v>584</v>
      </c>
    </row>
    <row r="25" spans="1:12" x14ac:dyDescent="0.3">
      <c r="A25" s="3" t="s">
        <v>585</v>
      </c>
      <c r="B25" s="3" t="s">
        <v>586</v>
      </c>
      <c r="C25" s="4">
        <v>899.99</v>
      </c>
      <c r="D25" s="3" t="s">
        <v>2</v>
      </c>
      <c r="E25" s="3" t="s">
        <v>566</v>
      </c>
      <c r="F25" s="3" t="s">
        <v>587</v>
      </c>
      <c r="G25" s="3" t="s">
        <v>366</v>
      </c>
      <c r="H25" s="3" t="s">
        <v>568</v>
      </c>
      <c r="I25" s="3" t="s">
        <v>588</v>
      </c>
      <c r="J25" s="3" t="s">
        <v>22</v>
      </c>
      <c r="K25" s="3" t="s">
        <v>23</v>
      </c>
      <c r="L25" s="5" t="s">
        <v>589</v>
      </c>
    </row>
    <row r="26" spans="1:12" x14ac:dyDescent="0.3">
      <c r="A26" s="3" t="s">
        <v>590</v>
      </c>
      <c r="B26" s="3" t="s">
        <v>591</v>
      </c>
      <c r="C26" s="4">
        <v>899.99</v>
      </c>
      <c r="D26" s="3" t="s">
        <v>2</v>
      </c>
      <c r="E26" s="3" t="s">
        <v>566</v>
      </c>
      <c r="F26" s="3" t="s">
        <v>587</v>
      </c>
      <c r="G26" s="3" t="s">
        <v>366</v>
      </c>
      <c r="H26" s="3" t="s">
        <v>68</v>
      </c>
      <c r="I26" s="3" t="s">
        <v>592</v>
      </c>
      <c r="J26" s="3" t="s">
        <v>22</v>
      </c>
      <c r="K26" s="3" t="s">
        <v>23</v>
      </c>
      <c r="L26" s="5" t="s">
        <v>593</v>
      </c>
    </row>
    <row r="27" spans="1:12" x14ac:dyDescent="0.3">
      <c r="A27" s="3" t="s">
        <v>594</v>
      </c>
      <c r="B27" s="3" t="s">
        <v>595</v>
      </c>
      <c r="C27" s="4">
        <v>1799.99</v>
      </c>
      <c r="D27" s="3" t="s">
        <v>2</v>
      </c>
      <c r="E27" s="3" t="s">
        <v>596</v>
      </c>
      <c r="F27" s="3" t="s">
        <v>597</v>
      </c>
      <c r="G27" s="3" t="s">
        <v>598</v>
      </c>
      <c r="H27" s="3" t="s">
        <v>568</v>
      </c>
      <c r="I27" s="3" t="s">
        <v>599</v>
      </c>
      <c r="J27" s="3" t="s">
        <v>22</v>
      </c>
      <c r="K27" s="3" t="s">
        <v>23</v>
      </c>
      <c r="L27" s="5" t="s">
        <v>600</v>
      </c>
    </row>
    <row r="28" spans="1:12" x14ac:dyDescent="0.3">
      <c r="A28" s="3" t="s">
        <v>601</v>
      </c>
      <c r="B28" s="3" t="s">
        <v>602</v>
      </c>
      <c r="C28" s="4">
        <v>2199.9899999999998</v>
      </c>
      <c r="D28" s="3" t="s">
        <v>2</v>
      </c>
      <c r="E28" s="3" t="s">
        <v>596</v>
      </c>
      <c r="F28" s="3" t="s">
        <v>597</v>
      </c>
      <c r="G28" s="3" t="s">
        <v>603</v>
      </c>
      <c r="H28" s="3" t="s">
        <v>568</v>
      </c>
      <c r="I28" s="3" t="s">
        <v>604</v>
      </c>
      <c r="J28" s="3" t="s">
        <v>22</v>
      </c>
      <c r="K28" s="3" t="s">
        <v>23</v>
      </c>
      <c r="L28" s="5" t="s">
        <v>605</v>
      </c>
    </row>
    <row r="29" spans="1:12" x14ac:dyDescent="0.3">
      <c r="A29" s="3" t="s">
        <v>606</v>
      </c>
      <c r="B29" s="3" t="s">
        <v>607</v>
      </c>
      <c r="C29" s="4">
        <v>3599.99</v>
      </c>
      <c r="D29" s="3" t="s">
        <v>2</v>
      </c>
      <c r="E29" s="3" t="s">
        <v>596</v>
      </c>
      <c r="F29" s="3" t="s">
        <v>608</v>
      </c>
      <c r="G29" s="3" t="s">
        <v>609</v>
      </c>
      <c r="H29" s="3" t="s">
        <v>568</v>
      </c>
      <c r="I29" s="3" t="s">
        <v>610</v>
      </c>
      <c r="J29" s="3" t="s">
        <v>22</v>
      </c>
      <c r="K29" s="3" t="s">
        <v>23</v>
      </c>
      <c r="L29" s="5" t="s">
        <v>611</v>
      </c>
    </row>
    <row r="30" spans="1:12" x14ac:dyDescent="0.3">
      <c r="A30" s="3" t="s">
        <v>612</v>
      </c>
      <c r="B30" s="3" t="s">
        <v>613</v>
      </c>
      <c r="C30" s="4">
        <v>459.99</v>
      </c>
      <c r="D30" s="3" t="s">
        <v>2</v>
      </c>
      <c r="E30" s="3" t="s">
        <v>614</v>
      </c>
      <c r="F30" s="3" t="s">
        <v>615</v>
      </c>
      <c r="G30" s="3" t="s">
        <v>616</v>
      </c>
      <c r="H30" s="3" t="s">
        <v>511</v>
      </c>
      <c r="I30" s="3" t="s">
        <v>617</v>
      </c>
      <c r="J30" s="3" t="s">
        <v>22</v>
      </c>
      <c r="K30" s="3" t="s">
        <v>23</v>
      </c>
      <c r="L30" s="5" t="s">
        <v>618</v>
      </c>
    </row>
    <row r="31" spans="1:12" x14ac:dyDescent="0.3">
      <c r="A31" s="3" t="s">
        <v>619</v>
      </c>
      <c r="B31" s="3" t="s">
        <v>620</v>
      </c>
      <c r="C31" s="4">
        <v>699.99</v>
      </c>
      <c r="D31" s="3" t="s">
        <v>2</v>
      </c>
      <c r="E31" s="3" t="s">
        <v>614</v>
      </c>
      <c r="F31" s="3" t="s">
        <v>621</v>
      </c>
      <c r="G31" s="3" t="s">
        <v>622</v>
      </c>
      <c r="H31" s="3" t="s">
        <v>623</v>
      </c>
      <c r="I31" s="3" t="s">
        <v>624</v>
      </c>
      <c r="J31" s="3" t="s">
        <v>22</v>
      </c>
      <c r="K31" s="3" t="s">
        <v>23</v>
      </c>
      <c r="L31" s="5" t="s">
        <v>625</v>
      </c>
    </row>
    <row r="32" spans="1:12" x14ac:dyDescent="0.3">
      <c r="A32" s="3" t="s">
        <v>626</v>
      </c>
      <c r="B32" s="3" t="s">
        <v>627</v>
      </c>
      <c r="C32" s="4">
        <v>699.99</v>
      </c>
      <c r="D32" s="3" t="s">
        <v>2</v>
      </c>
      <c r="E32" s="3" t="s">
        <v>614</v>
      </c>
      <c r="F32" s="3" t="s">
        <v>621</v>
      </c>
      <c r="G32" s="3" t="s">
        <v>622</v>
      </c>
      <c r="H32" s="3" t="s">
        <v>628</v>
      </c>
      <c r="I32" s="3" t="s">
        <v>629</v>
      </c>
      <c r="J32" s="3" t="s">
        <v>22</v>
      </c>
      <c r="K32" s="3" t="s">
        <v>23</v>
      </c>
      <c r="L32" s="5" t="s">
        <v>630</v>
      </c>
    </row>
    <row r="33" spans="1:12" x14ac:dyDescent="0.3">
      <c r="A33" s="3" t="s">
        <v>631</v>
      </c>
      <c r="B33" s="3" t="s">
        <v>632</v>
      </c>
      <c r="C33" s="4">
        <v>249.99</v>
      </c>
      <c r="D33" s="3" t="s">
        <v>2</v>
      </c>
      <c r="E33" s="3" t="s">
        <v>614</v>
      </c>
      <c r="F33" s="3" t="s">
        <v>633</v>
      </c>
      <c r="G33" s="3" t="s">
        <v>462</v>
      </c>
      <c r="H33" s="3" t="s">
        <v>20</v>
      </c>
      <c r="I33" s="3" t="s">
        <v>634</v>
      </c>
      <c r="J33" s="3" t="s">
        <v>22</v>
      </c>
      <c r="K33" s="3" t="s">
        <v>23</v>
      </c>
      <c r="L33" s="5" t="s">
        <v>635</v>
      </c>
    </row>
    <row r="34" spans="1:12" x14ac:dyDescent="0.3">
      <c r="A34" s="3" t="s">
        <v>636</v>
      </c>
      <c r="B34" s="3" t="s">
        <v>637</v>
      </c>
      <c r="C34" s="4">
        <v>249.99</v>
      </c>
      <c r="D34" s="3" t="s">
        <v>2</v>
      </c>
      <c r="E34" s="3" t="s">
        <v>614</v>
      </c>
      <c r="F34" s="3" t="s">
        <v>633</v>
      </c>
      <c r="G34" s="3" t="s">
        <v>462</v>
      </c>
      <c r="H34" s="3" t="s">
        <v>41</v>
      </c>
      <c r="I34" s="3" t="s">
        <v>638</v>
      </c>
      <c r="J34" s="3" t="s">
        <v>22</v>
      </c>
      <c r="K34" s="3" t="s">
        <v>23</v>
      </c>
      <c r="L34" s="5" t="s">
        <v>639</v>
      </c>
    </row>
    <row r="35" spans="1:12" x14ac:dyDescent="0.3">
      <c r="A35" s="3" t="s">
        <v>640</v>
      </c>
      <c r="B35" s="3" t="s">
        <v>641</v>
      </c>
      <c r="C35" s="4">
        <v>179.99</v>
      </c>
      <c r="D35" s="3" t="s">
        <v>2</v>
      </c>
      <c r="E35" s="3" t="s">
        <v>614</v>
      </c>
      <c r="F35" s="3" t="s">
        <v>642</v>
      </c>
      <c r="G35" s="3" t="s">
        <v>462</v>
      </c>
      <c r="H35" s="3" t="s">
        <v>20</v>
      </c>
      <c r="I35" s="3" t="s">
        <v>643</v>
      </c>
      <c r="J35" s="3" t="s">
        <v>22</v>
      </c>
      <c r="K35" s="3" t="s">
        <v>23</v>
      </c>
      <c r="L35" s="5" t="s">
        <v>644</v>
      </c>
    </row>
    <row r="36" spans="1:12" x14ac:dyDescent="0.3">
      <c r="A36" s="3" t="s">
        <v>645</v>
      </c>
      <c r="B36" s="3" t="s">
        <v>646</v>
      </c>
      <c r="C36" s="4">
        <v>1599.99</v>
      </c>
      <c r="D36" s="3" t="s">
        <v>2</v>
      </c>
      <c r="E36" s="3" t="s">
        <v>647</v>
      </c>
      <c r="F36" s="3" t="s">
        <v>648</v>
      </c>
      <c r="G36" s="3" t="s">
        <v>649</v>
      </c>
      <c r="H36" s="3" t="s">
        <v>462</v>
      </c>
      <c r="I36" s="3" t="s">
        <v>650</v>
      </c>
      <c r="J36" s="3" t="s">
        <v>22</v>
      </c>
      <c r="K36" s="3" t="s">
        <v>23</v>
      </c>
      <c r="L36" s="5" t="s">
        <v>651</v>
      </c>
    </row>
    <row r="37" spans="1:12" x14ac:dyDescent="0.3">
      <c r="A37" s="3" t="s">
        <v>652</v>
      </c>
      <c r="B37" s="3" t="s">
        <v>653</v>
      </c>
      <c r="C37" s="4">
        <v>2699.99</v>
      </c>
      <c r="D37" s="3" t="s">
        <v>2</v>
      </c>
      <c r="E37" s="3" t="s">
        <v>647</v>
      </c>
      <c r="F37" s="3" t="s">
        <v>654</v>
      </c>
      <c r="G37" s="3" t="s">
        <v>655</v>
      </c>
      <c r="H37" s="3" t="s">
        <v>462</v>
      </c>
      <c r="I37" s="3" t="s">
        <v>656</v>
      </c>
      <c r="J37" s="3" t="s">
        <v>22</v>
      </c>
      <c r="K37" s="3" t="s">
        <v>23</v>
      </c>
      <c r="L37" s="5" t="s">
        <v>657</v>
      </c>
    </row>
    <row r="38" spans="1:12" x14ac:dyDescent="0.3">
      <c r="A38" s="3" t="s">
        <v>658</v>
      </c>
      <c r="B38" s="3" t="s">
        <v>659</v>
      </c>
      <c r="C38" s="4">
        <v>3399.99</v>
      </c>
      <c r="D38" s="3" t="s">
        <v>2</v>
      </c>
      <c r="E38" s="3" t="s">
        <v>647</v>
      </c>
      <c r="F38" s="3" t="s">
        <v>660</v>
      </c>
      <c r="G38" s="3" t="s">
        <v>661</v>
      </c>
      <c r="H38" s="3" t="s">
        <v>462</v>
      </c>
      <c r="I38" s="3" t="s">
        <v>662</v>
      </c>
      <c r="J38" s="3" t="s">
        <v>22</v>
      </c>
      <c r="K38" s="3" t="s">
        <v>23</v>
      </c>
      <c r="L38" s="5" t="s">
        <v>663</v>
      </c>
    </row>
    <row r="39" spans="1:12" x14ac:dyDescent="0.3">
      <c r="A39" s="3" t="s">
        <v>664</v>
      </c>
      <c r="B39" s="3" t="s">
        <v>665</v>
      </c>
      <c r="C39" s="4">
        <v>1499.99</v>
      </c>
      <c r="D39" s="3" t="s">
        <v>2</v>
      </c>
      <c r="E39" s="3" t="s">
        <v>647</v>
      </c>
      <c r="F39" s="3" t="s">
        <v>666</v>
      </c>
      <c r="G39" s="3" t="s">
        <v>667</v>
      </c>
      <c r="H39" s="3" t="s">
        <v>462</v>
      </c>
      <c r="I39" s="3" t="s">
        <v>668</v>
      </c>
      <c r="J39" s="3" t="s">
        <v>22</v>
      </c>
      <c r="K39" s="3" t="s">
        <v>23</v>
      </c>
      <c r="L39" s="5" t="s">
        <v>669</v>
      </c>
    </row>
    <row r="40" spans="1:12" x14ac:dyDescent="0.3">
      <c r="A40" s="3" t="s">
        <v>670</v>
      </c>
      <c r="B40" s="3" t="s">
        <v>671</v>
      </c>
      <c r="C40" s="4">
        <v>1999.99</v>
      </c>
      <c r="D40" s="3" t="s">
        <v>2</v>
      </c>
      <c r="E40" s="3" t="s">
        <v>647</v>
      </c>
      <c r="F40" s="3" t="s">
        <v>672</v>
      </c>
      <c r="G40" s="3" t="s">
        <v>673</v>
      </c>
      <c r="H40" s="3" t="s">
        <v>462</v>
      </c>
      <c r="I40" s="3" t="s">
        <v>674</v>
      </c>
      <c r="J40" s="3" t="s">
        <v>22</v>
      </c>
      <c r="K40" s="3" t="s">
        <v>23</v>
      </c>
      <c r="L40" s="5" t="s">
        <v>675</v>
      </c>
    </row>
    <row r="41" spans="1:12" x14ac:dyDescent="0.3">
      <c r="A41" s="3" t="s">
        <v>676</v>
      </c>
      <c r="B41" s="3" t="s">
        <v>677</v>
      </c>
      <c r="C41" s="4">
        <v>1999.99</v>
      </c>
      <c r="D41" s="3" t="s">
        <v>2</v>
      </c>
      <c r="E41" s="3" t="s">
        <v>647</v>
      </c>
      <c r="F41" s="3" t="s">
        <v>678</v>
      </c>
      <c r="G41" s="3" t="s">
        <v>679</v>
      </c>
      <c r="H41" s="3" t="s">
        <v>680</v>
      </c>
      <c r="I41" s="3" t="s">
        <v>681</v>
      </c>
      <c r="J41" s="3" t="s">
        <v>22</v>
      </c>
      <c r="K41" s="3" t="s">
        <v>23</v>
      </c>
      <c r="L41" s="5" t="s">
        <v>682</v>
      </c>
    </row>
    <row r="42" spans="1:12" x14ac:dyDescent="0.3">
      <c r="A42" s="3" t="s">
        <v>683</v>
      </c>
      <c r="B42" s="3" t="s">
        <v>684</v>
      </c>
      <c r="C42" s="4">
        <v>1099.99</v>
      </c>
      <c r="D42" s="3" t="s">
        <v>2</v>
      </c>
      <c r="E42" s="3" t="s">
        <v>685</v>
      </c>
      <c r="F42" s="3" t="s">
        <v>686</v>
      </c>
      <c r="G42" s="3" t="s">
        <v>687</v>
      </c>
      <c r="H42" s="3" t="s">
        <v>462</v>
      </c>
      <c r="I42" s="3" t="s">
        <v>688</v>
      </c>
      <c r="J42" s="3" t="s">
        <v>22</v>
      </c>
      <c r="K42" s="3" t="s">
        <v>23</v>
      </c>
      <c r="L42" s="5" t="s">
        <v>689</v>
      </c>
    </row>
    <row r="43" spans="1:12" x14ac:dyDescent="0.3">
      <c r="A43" s="3" t="s">
        <v>690</v>
      </c>
      <c r="B43" s="3" t="s">
        <v>691</v>
      </c>
      <c r="C43" s="4">
        <v>949.99</v>
      </c>
      <c r="D43" s="3" t="s">
        <v>2</v>
      </c>
      <c r="E43" s="3" t="s">
        <v>685</v>
      </c>
      <c r="F43" s="3" t="s">
        <v>692</v>
      </c>
      <c r="G43" s="3" t="s">
        <v>693</v>
      </c>
      <c r="H43" s="3" t="s">
        <v>462</v>
      </c>
      <c r="I43" s="3" t="s">
        <v>694</v>
      </c>
      <c r="J43" s="3" t="s">
        <v>22</v>
      </c>
      <c r="K43" s="3" t="s">
        <v>23</v>
      </c>
      <c r="L43" s="5" t="s">
        <v>695</v>
      </c>
    </row>
    <row r="44" spans="1:12" x14ac:dyDescent="0.3">
      <c r="A44" s="3" t="s">
        <v>696</v>
      </c>
      <c r="B44" s="3" t="s">
        <v>697</v>
      </c>
      <c r="C44" s="4">
        <v>1299.99</v>
      </c>
      <c r="D44" s="3" t="s">
        <v>2</v>
      </c>
      <c r="E44" s="3" t="s">
        <v>685</v>
      </c>
      <c r="F44" s="3" t="s">
        <v>686</v>
      </c>
      <c r="G44" s="3" t="s">
        <v>687</v>
      </c>
      <c r="H44" s="3" t="s">
        <v>68</v>
      </c>
      <c r="I44" s="3" t="s">
        <v>698</v>
      </c>
      <c r="J44" s="3" t="s">
        <v>22</v>
      </c>
      <c r="K44" s="3" t="s">
        <v>23</v>
      </c>
      <c r="L44" s="5" t="s">
        <v>699</v>
      </c>
    </row>
  </sheetData>
  <hyperlinks>
    <hyperlink ref="L2" r:id="rId1" xr:uid="{00000000-0004-0000-0300-000000000000}"/>
    <hyperlink ref="L3" r:id="rId2" xr:uid="{00000000-0004-0000-0300-000001000000}"/>
    <hyperlink ref="L4" r:id="rId3" xr:uid="{00000000-0004-0000-0300-000002000000}"/>
    <hyperlink ref="L5" r:id="rId4" xr:uid="{00000000-0004-0000-0300-000003000000}"/>
    <hyperlink ref="L6" r:id="rId5" xr:uid="{00000000-0004-0000-0300-000004000000}"/>
    <hyperlink ref="L7" r:id="rId6" xr:uid="{00000000-0004-0000-0300-000005000000}"/>
    <hyperlink ref="L8" r:id="rId7" xr:uid="{00000000-0004-0000-0300-000006000000}"/>
    <hyperlink ref="L9" r:id="rId8" xr:uid="{00000000-0004-0000-0300-000007000000}"/>
    <hyperlink ref="L10" r:id="rId9" xr:uid="{00000000-0004-0000-0300-000008000000}"/>
    <hyperlink ref="L11" r:id="rId10" xr:uid="{00000000-0004-0000-0300-000009000000}"/>
    <hyperlink ref="L12" r:id="rId11" xr:uid="{00000000-0004-0000-0300-00000A000000}"/>
    <hyperlink ref="L13" r:id="rId12" xr:uid="{00000000-0004-0000-0300-00000B000000}"/>
    <hyperlink ref="L14" r:id="rId13" xr:uid="{00000000-0004-0000-0300-00000C000000}"/>
    <hyperlink ref="L15" r:id="rId14" xr:uid="{00000000-0004-0000-0300-00000D000000}"/>
    <hyperlink ref="L16" r:id="rId15" xr:uid="{00000000-0004-0000-0300-00000E000000}"/>
    <hyperlink ref="L17" r:id="rId16" xr:uid="{00000000-0004-0000-0300-00000F000000}"/>
    <hyperlink ref="L18" r:id="rId17" xr:uid="{00000000-0004-0000-0300-000010000000}"/>
    <hyperlink ref="L19" r:id="rId18" xr:uid="{00000000-0004-0000-0300-000011000000}"/>
    <hyperlink ref="L20" r:id="rId19" xr:uid="{00000000-0004-0000-0300-000012000000}"/>
    <hyperlink ref="L21" r:id="rId20" xr:uid="{00000000-0004-0000-0300-000013000000}"/>
    <hyperlink ref="L22" r:id="rId21" xr:uid="{00000000-0004-0000-0300-000014000000}"/>
    <hyperlink ref="L23" r:id="rId22" xr:uid="{00000000-0004-0000-0300-000015000000}"/>
    <hyperlink ref="L24" r:id="rId23" xr:uid="{00000000-0004-0000-0300-000016000000}"/>
    <hyperlink ref="L25" r:id="rId24" xr:uid="{00000000-0004-0000-0300-000017000000}"/>
    <hyperlink ref="L26" r:id="rId25" xr:uid="{00000000-0004-0000-0300-000018000000}"/>
    <hyperlink ref="L27" r:id="rId26" xr:uid="{00000000-0004-0000-0300-000019000000}"/>
    <hyperlink ref="L28" r:id="rId27" xr:uid="{00000000-0004-0000-0300-00001A000000}"/>
    <hyperlink ref="L29" r:id="rId28" xr:uid="{00000000-0004-0000-0300-00001B000000}"/>
    <hyperlink ref="L30" r:id="rId29" xr:uid="{00000000-0004-0000-0300-00001C000000}"/>
    <hyperlink ref="L31" r:id="rId30" xr:uid="{00000000-0004-0000-0300-00001D000000}"/>
    <hyperlink ref="L32" r:id="rId31" xr:uid="{00000000-0004-0000-0300-00001E000000}"/>
    <hyperlink ref="L33" r:id="rId32" xr:uid="{00000000-0004-0000-0300-00001F000000}"/>
    <hyperlink ref="L34" r:id="rId33" xr:uid="{00000000-0004-0000-0300-000020000000}"/>
    <hyperlink ref="L35" r:id="rId34" xr:uid="{00000000-0004-0000-0300-000021000000}"/>
    <hyperlink ref="L36" r:id="rId35" xr:uid="{00000000-0004-0000-0300-000022000000}"/>
    <hyperlink ref="L37" r:id="rId36" xr:uid="{00000000-0004-0000-0300-000023000000}"/>
    <hyperlink ref="L38" r:id="rId37" xr:uid="{00000000-0004-0000-0300-000024000000}"/>
    <hyperlink ref="L39" r:id="rId38" xr:uid="{00000000-0004-0000-0300-000025000000}"/>
    <hyperlink ref="L40" r:id="rId39" xr:uid="{00000000-0004-0000-0300-000026000000}"/>
    <hyperlink ref="L41" r:id="rId40" xr:uid="{00000000-0004-0000-0300-000027000000}"/>
    <hyperlink ref="L42" r:id="rId41" xr:uid="{00000000-0004-0000-0300-000028000000}"/>
    <hyperlink ref="L43" r:id="rId42" xr:uid="{00000000-0004-0000-0300-000029000000}"/>
    <hyperlink ref="L44" r:id="rId43" xr:uid="{00000000-0004-0000-0300-00002A000000}"/>
  </hyperlinks>
  <pageMargins left="0.75" right="0.75" top="1" bottom="1" header="0.511811023622047" footer="0.511811023622047"/>
  <pageSetup paperSize="9" orientation="portrait" horizontalDpi="300" verticalDpi="300"/>
  <tableParts count="1">
    <tablePart r:id="rId4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6"/>
  <sheetViews>
    <sheetView zoomScaleNormal="100" workbookViewId="0">
      <pane xSplit="3" ySplit="1" topLeftCell="I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8.6640625" style="1"/>
    <col min="2" max="2" width="5" style="1" customWidth="1"/>
    <col min="3" max="3" width="22" style="1" customWidth="1"/>
    <col min="4" max="4" width="30" style="1" customWidth="1"/>
    <col min="5" max="5" width="24" style="1" customWidth="1"/>
    <col min="6" max="6" width="18" style="1" customWidth="1"/>
    <col min="7" max="7" width="30" style="1" customWidth="1"/>
    <col min="8" max="8" width="9" style="1" customWidth="1"/>
    <col min="9" max="9" width="13" style="1" customWidth="1"/>
    <col min="10" max="10" width="32" style="1" customWidth="1"/>
    <col min="11" max="11" width="42" style="1" customWidth="1"/>
    <col min="12" max="16" width="13" style="1" customWidth="1"/>
    <col min="17" max="17" width="12" style="1" customWidth="1"/>
    <col min="18" max="16384" width="8.6640625" style="1"/>
  </cols>
  <sheetData>
    <row r="1" spans="1:17" ht="30" customHeight="1" x14ac:dyDescent="0.3">
      <c r="A1" s="2" t="s">
        <v>844</v>
      </c>
      <c r="B1" s="2" t="s">
        <v>700</v>
      </c>
      <c r="C1" s="2" t="s">
        <v>701</v>
      </c>
      <c r="D1" s="2" t="s">
        <v>702</v>
      </c>
      <c r="E1" s="2" t="s">
        <v>703</v>
      </c>
      <c r="F1" s="2" t="s">
        <v>704</v>
      </c>
      <c r="G1" s="2" t="s">
        <v>705</v>
      </c>
      <c r="H1" s="2" t="s">
        <v>706</v>
      </c>
      <c r="I1" s="2" t="s">
        <v>707</v>
      </c>
      <c r="J1" s="2" t="s">
        <v>708</v>
      </c>
      <c r="K1" s="2" t="s">
        <v>709</v>
      </c>
      <c r="L1" s="2" t="s">
        <v>27</v>
      </c>
      <c r="M1" s="2" t="s">
        <v>159</v>
      </c>
      <c r="N1" s="2" t="s">
        <v>17</v>
      </c>
      <c r="O1" s="2" t="s">
        <v>114</v>
      </c>
      <c r="P1" s="2" t="s">
        <v>78</v>
      </c>
      <c r="Q1" s="2" t="s">
        <v>710</v>
      </c>
    </row>
    <row r="2" spans="1:17" ht="27.6" x14ac:dyDescent="0.3">
      <c r="A2" s="1" t="s">
        <v>720</v>
      </c>
      <c r="B2" s="3">
        <v>2</v>
      </c>
      <c r="C2" s="3" t="s">
        <v>721</v>
      </c>
      <c r="D2" s="5" t="s">
        <v>722</v>
      </c>
      <c r="E2" s="3" t="s">
        <v>723</v>
      </c>
      <c r="F2" s="3" t="s">
        <v>724</v>
      </c>
      <c r="G2" s="6" t="s">
        <v>725</v>
      </c>
      <c r="H2" s="3" t="s">
        <v>716</v>
      </c>
      <c r="I2" s="3" t="s">
        <v>726</v>
      </c>
      <c r="J2" s="6" t="s">
        <v>727</v>
      </c>
      <c r="K2" s="6" t="s">
        <v>728</v>
      </c>
      <c r="L2" s="7" t="s">
        <v>720</v>
      </c>
      <c r="M2" s="7" t="s">
        <v>720</v>
      </c>
      <c r="N2" s="7" t="s">
        <v>720</v>
      </c>
      <c r="O2" s="7" t="s">
        <v>720</v>
      </c>
      <c r="P2" s="7" t="s">
        <v>720</v>
      </c>
      <c r="Q2" s="8">
        <f>COUNTIF(L2:P2,"Y")</f>
        <v>5</v>
      </c>
    </row>
    <row r="3" spans="1:17" ht="27.6" x14ac:dyDescent="0.3">
      <c r="A3" s="1" t="s">
        <v>720</v>
      </c>
      <c r="B3" s="3">
        <v>3</v>
      </c>
      <c r="C3" s="3" t="s">
        <v>729</v>
      </c>
      <c r="D3" s="5" t="s">
        <v>730</v>
      </c>
      <c r="E3" s="3" t="s">
        <v>731</v>
      </c>
      <c r="F3" s="3" t="s">
        <v>714</v>
      </c>
      <c r="G3" s="6" t="s">
        <v>732</v>
      </c>
      <c r="H3" s="3" t="s">
        <v>716</v>
      </c>
      <c r="I3" s="3" t="s">
        <v>726</v>
      </c>
      <c r="J3" s="6" t="s">
        <v>733</v>
      </c>
      <c r="K3" s="6" t="s">
        <v>734</v>
      </c>
      <c r="L3" s="7" t="s">
        <v>720</v>
      </c>
      <c r="M3" s="7" t="s">
        <v>720</v>
      </c>
      <c r="N3" s="7" t="s">
        <v>720</v>
      </c>
      <c r="O3" s="7" t="s">
        <v>720</v>
      </c>
      <c r="P3" s="7" t="s">
        <v>720</v>
      </c>
      <c r="Q3" s="8">
        <f>COUNTIF(L3:P3,"Y")</f>
        <v>5</v>
      </c>
    </row>
    <row r="4" spans="1:17" x14ac:dyDescent="0.3">
      <c r="A4" s="1" t="s">
        <v>720</v>
      </c>
      <c r="B4" s="3">
        <v>4</v>
      </c>
      <c r="C4" s="3" t="s">
        <v>735</v>
      </c>
      <c r="D4" s="5" t="s">
        <v>736</v>
      </c>
      <c r="E4" s="3" t="s">
        <v>737</v>
      </c>
      <c r="F4" s="3" t="s">
        <v>724</v>
      </c>
      <c r="G4" s="6" t="s">
        <v>725</v>
      </c>
      <c r="H4" s="3" t="s">
        <v>716</v>
      </c>
      <c r="I4" s="3" t="s">
        <v>726</v>
      </c>
      <c r="J4" s="6" t="s">
        <v>718</v>
      </c>
      <c r="K4" s="6" t="s">
        <v>738</v>
      </c>
      <c r="L4" s="7" t="s">
        <v>720</v>
      </c>
      <c r="M4" s="7" t="s">
        <v>720</v>
      </c>
      <c r="N4" s="7" t="s">
        <v>720</v>
      </c>
      <c r="O4" s="7" t="s">
        <v>720</v>
      </c>
      <c r="P4" s="7" t="s">
        <v>720</v>
      </c>
      <c r="Q4" s="8">
        <f>COUNTIF(L4:P4,"Y")</f>
        <v>5</v>
      </c>
    </row>
    <row r="5" spans="1:17" x14ac:dyDescent="0.3">
      <c r="A5" s="1" t="s">
        <v>720</v>
      </c>
      <c r="B5" s="3">
        <v>7</v>
      </c>
      <c r="C5" s="3" t="s">
        <v>750</v>
      </c>
      <c r="D5" s="5" t="s">
        <v>751</v>
      </c>
      <c r="E5" s="3" t="s">
        <v>723</v>
      </c>
      <c r="F5" s="3" t="s">
        <v>724</v>
      </c>
      <c r="G5" s="6" t="s">
        <v>725</v>
      </c>
      <c r="H5" s="3" t="s">
        <v>752</v>
      </c>
      <c r="I5" s="3" t="s">
        <v>743</v>
      </c>
      <c r="J5" s="6" t="s">
        <v>718</v>
      </c>
      <c r="K5" s="6" t="s">
        <v>753</v>
      </c>
      <c r="L5" s="7" t="s">
        <v>720</v>
      </c>
      <c r="M5" s="7" t="s">
        <v>720</v>
      </c>
      <c r="N5" s="7" t="s">
        <v>720</v>
      </c>
      <c r="O5" s="7" t="s">
        <v>720</v>
      </c>
      <c r="P5" s="7" t="s">
        <v>720</v>
      </c>
      <c r="Q5" s="8">
        <f>COUNTIF(L5:P5,"Y")</f>
        <v>5</v>
      </c>
    </row>
    <row r="6" spans="1:17" ht="27.6" x14ac:dyDescent="0.3">
      <c r="A6" s="1" t="s">
        <v>720</v>
      </c>
      <c r="B6" s="3">
        <v>8</v>
      </c>
      <c r="C6" s="3" t="s">
        <v>754</v>
      </c>
      <c r="D6" s="5" t="s">
        <v>755</v>
      </c>
      <c r="E6" s="3" t="s">
        <v>756</v>
      </c>
      <c r="F6" s="3" t="s">
        <v>714</v>
      </c>
      <c r="G6" s="6" t="s">
        <v>732</v>
      </c>
      <c r="H6" s="3" t="s">
        <v>752</v>
      </c>
      <c r="I6" s="3" t="s">
        <v>743</v>
      </c>
      <c r="J6" s="6" t="s">
        <v>718</v>
      </c>
      <c r="K6" s="6" t="s">
        <v>757</v>
      </c>
      <c r="L6" s="7" t="s">
        <v>720</v>
      </c>
      <c r="M6" s="7" t="s">
        <v>720</v>
      </c>
      <c r="N6" s="7" t="s">
        <v>720</v>
      </c>
      <c r="O6" s="7" t="s">
        <v>720</v>
      </c>
      <c r="P6" s="7"/>
      <c r="Q6" s="8">
        <f>COUNTIF(L6:P6,"Y")</f>
        <v>4</v>
      </c>
    </row>
    <row r="7" spans="1:17" ht="27.6" x14ac:dyDescent="0.3">
      <c r="A7" s="1" t="s">
        <v>720</v>
      </c>
      <c r="B7" s="3">
        <v>10</v>
      </c>
      <c r="C7" s="3" t="s">
        <v>760</v>
      </c>
      <c r="D7" s="5" t="s">
        <v>761</v>
      </c>
      <c r="E7" s="3" t="s">
        <v>762</v>
      </c>
      <c r="F7" s="3" t="s">
        <v>714</v>
      </c>
      <c r="G7" s="6" t="s">
        <v>732</v>
      </c>
      <c r="H7" s="3" t="s">
        <v>752</v>
      </c>
      <c r="I7" s="3" t="s">
        <v>717</v>
      </c>
      <c r="J7" s="6" t="s">
        <v>718</v>
      </c>
      <c r="K7" s="6" t="s">
        <v>763</v>
      </c>
      <c r="L7" s="7" t="s">
        <v>720</v>
      </c>
      <c r="M7" s="7" t="s">
        <v>720</v>
      </c>
      <c r="N7" s="7" t="s">
        <v>720</v>
      </c>
      <c r="O7" s="7" t="s">
        <v>720</v>
      </c>
      <c r="P7" s="7" t="s">
        <v>720</v>
      </c>
      <c r="Q7" s="8">
        <f>COUNTIF(L7:P7,"Y")</f>
        <v>5</v>
      </c>
    </row>
    <row r="8" spans="1:17" x14ac:dyDescent="0.3">
      <c r="A8" s="1" t="s">
        <v>720</v>
      </c>
      <c r="B8" s="3">
        <v>14</v>
      </c>
      <c r="C8" s="3" t="s">
        <v>774</v>
      </c>
      <c r="D8" s="5" t="s">
        <v>775</v>
      </c>
      <c r="E8" s="3" t="s">
        <v>723</v>
      </c>
      <c r="F8" s="3" t="s">
        <v>776</v>
      </c>
      <c r="G8" s="6" t="s">
        <v>725</v>
      </c>
      <c r="H8" s="3" t="s">
        <v>770</v>
      </c>
      <c r="I8" s="3" t="s">
        <v>717</v>
      </c>
      <c r="J8" s="6" t="s">
        <v>777</v>
      </c>
      <c r="K8" s="6" t="s">
        <v>778</v>
      </c>
      <c r="L8" s="7" t="s">
        <v>720</v>
      </c>
      <c r="M8" s="7" t="s">
        <v>720</v>
      </c>
      <c r="N8" s="7" t="s">
        <v>720</v>
      </c>
      <c r="O8" s="7" t="s">
        <v>720</v>
      </c>
      <c r="P8" s="7" t="s">
        <v>720</v>
      </c>
      <c r="Q8" s="8">
        <f>COUNTIF(L8:P8,"Y")</f>
        <v>5</v>
      </c>
    </row>
    <row r="9" spans="1:17" x14ac:dyDescent="0.3">
      <c r="A9" s="1" t="s">
        <v>720</v>
      </c>
      <c r="B9" s="3">
        <v>15</v>
      </c>
      <c r="C9" s="3" t="s">
        <v>779</v>
      </c>
      <c r="D9" s="5" t="s">
        <v>780</v>
      </c>
      <c r="E9" s="3" t="s">
        <v>781</v>
      </c>
      <c r="F9" s="3" t="s">
        <v>782</v>
      </c>
      <c r="G9" s="6" t="s">
        <v>783</v>
      </c>
      <c r="H9" s="3" t="s">
        <v>770</v>
      </c>
      <c r="I9" s="3" t="s">
        <v>717</v>
      </c>
      <c r="J9" s="6" t="s">
        <v>784</v>
      </c>
      <c r="K9" s="6" t="s">
        <v>785</v>
      </c>
      <c r="L9" s="7" t="s">
        <v>720</v>
      </c>
      <c r="M9" s="7" t="s">
        <v>720</v>
      </c>
      <c r="N9" s="7" t="s">
        <v>720</v>
      </c>
      <c r="O9" s="7" t="s">
        <v>720</v>
      </c>
      <c r="P9" s="7" t="s">
        <v>720</v>
      </c>
      <c r="Q9" s="8">
        <f>COUNTIF(L9:P9,"Y")</f>
        <v>5</v>
      </c>
    </row>
    <row r="10" spans="1:17" ht="27.6" x14ac:dyDescent="0.3">
      <c r="A10" s="1" t="s">
        <v>845</v>
      </c>
      <c r="B10" s="3">
        <v>1</v>
      </c>
      <c r="C10" s="3" t="s">
        <v>711</v>
      </c>
      <c r="D10" s="5" t="s">
        <v>712</v>
      </c>
      <c r="E10" s="3" t="s">
        <v>713</v>
      </c>
      <c r="F10" s="3" t="s">
        <v>714</v>
      </c>
      <c r="G10" s="6" t="s">
        <v>715</v>
      </c>
      <c r="H10" s="3" t="s">
        <v>716</v>
      </c>
      <c r="I10" s="3" t="s">
        <v>717</v>
      </c>
      <c r="J10" s="6" t="s">
        <v>718</v>
      </c>
      <c r="K10" s="6" t="s">
        <v>719</v>
      </c>
      <c r="L10" s="7" t="s">
        <v>720</v>
      </c>
      <c r="M10" s="7" t="s">
        <v>720</v>
      </c>
      <c r="N10" s="7" t="s">
        <v>720</v>
      </c>
      <c r="O10" s="7" t="s">
        <v>720</v>
      </c>
      <c r="P10" s="7" t="s">
        <v>720</v>
      </c>
      <c r="Q10" s="8">
        <f>COUNTIF(L10:P10,"Y")</f>
        <v>5</v>
      </c>
    </row>
    <row r="11" spans="1:17" ht="27.6" x14ac:dyDescent="0.3">
      <c r="A11" s="1" t="s">
        <v>845</v>
      </c>
      <c r="B11" s="3">
        <v>5</v>
      </c>
      <c r="C11" s="3" t="s">
        <v>739</v>
      </c>
      <c r="D11" s="5" t="s">
        <v>740</v>
      </c>
      <c r="E11" s="3" t="s">
        <v>741</v>
      </c>
      <c r="F11" s="3" t="s">
        <v>742</v>
      </c>
      <c r="G11" s="6" t="s">
        <v>732</v>
      </c>
      <c r="H11" s="3" t="s">
        <v>716</v>
      </c>
      <c r="I11" s="3" t="s">
        <v>743</v>
      </c>
      <c r="J11" s="6" t="s">
        <v>744</v>
      </c>
      <c r="K11" s="6" t="s">
        <v>745</v>
      </c>
      <c r="L11" s="7" t="s">
        <v>720</v>
      </c>
      <c r="M11" s="7" t="s">
        <v>720</v>
      </c>
      <c r="N11" s="7"/>
      <c r="O11" s="7"/>
      <c r="P11" s="7" t="s">
        <v>720</v>
      </c>
      <c r="Q11" s="8">
        <f>COUNTIF(L11:P11,"Y")</f>
        <v>3</v>
      </c>
    </row>
    <row r="12" spans="1:17" ht="27.6" x14ac:dyDescent="0.3">
      <c r="A12" s="1" t="s">
        <v>845</v>
      </c>
      <c r="B12" s="3">
        <v>6</v>
      </c>
      <c r="C12" s="3" t="s">
        <v>746</v>
      </c>
      <c r="D12" s="5" t="s">
        <v>747</v>
      </c>
      <c r="E12" s="3" t="s">
        <v>748</v>
      </c>
      <c r="F12" s="3" t="s">
        <v>714</v>
      </c>
      <c r="G12" s="6" t="s">
        <v>732</v>
      </c>
      <c r="H12" s="3" t="s">
        <v>716</v>
      </c>
      <c r="I12" s="3" t="s">
        <v>743</v>
      </c>
      <c r="J12" s="6" t="s">
        <v>718</v>
      </c>
      <c r="K12" s="6" t="s">
        <v>749</v>
      </c>
      <c r="L12" s="7" t="s">
        <v>720</v>
      </c>
      <c r="M12" s="7" t="s">
        <v>720</v>
      </c>
      <c r="N12" s="7" t="s">
        <v>720</v>
      </c>
      <c r="O12" s="7" t="s">
        <v>720</v>
      </c>
      <c r="P12" s="7" t="s">
        <v>720</v>
      </c>
      <c r="Q12" s="8">
        <f>COUNTIF(L12:P12,"Y")</f>
        <v>5</v>
      </c>
    </row>
    <row r="13" spans="1:17" ht="27.6" x14ac:dyDescent="0.3">
      <c r="A13" s="1" t="s">
        <v>845</v>
      </c>
      <c r="B13" s="3">
        <v>9</v>
      </c>
      <c r="C13" s="3" t="s">
        <v>758</v>
      </c>
      <c r="D13" s="5" t="s">
        <v>759</v>
      </c>
      <c r="E13" s="3" t="s">
        <v>748</v>
      </c>
      <c r="F13" s="3" t="s">
        <v>714</v>
      </c>
      <c r="G13" s="6" t="s">
        <v>732</v>
      </c>
      <c r="H13" s="3" t="s">
        <v>752</v>
      </c>
      <c r="I13" s="3" t="s">
        <v>717</v>
      </c>
      <c r="J13" s="6" t="s">
        <v>718</v>
      </c>
      <c r="K13" s="6"/>
      <c r="L13" s="7" t="s">
        <v>720</v>
      </c>
      <c r="M13" s="7" t="s">
        <v>720</v>
      </c>
      <c r="N13" s="7"/>
      <c r="O13" s="7" t="s">
        <v>720</v>
      </c>
      <c r="P13" s="7"/>
      <c r="Q13" s="8">
        <f>COUNTIF(L13:P13,"Y")</f>
        <v>3</v>
      </c>
    </row>
    <row r="14" spans="1:17" ht="27.6" x14ac:dyDescent="0.3">
      <c r="A14" s="1" t="s">
        <v>845</v>
      </c>
      <c r="B14" s="3">
        <v>11</v>
      </c>
      <c r="C14" s="3" t="s">
        <v>764</v>
      </c>
      <c r="D14" s="5" t="s">
        <v>765</v>
      </c>
      <c r="E14" s="3" t="s">
        <v>741</v>
      </c>
      <c r="F14" s="3" t="s">
        <v>742</v>
      </c>
      <c r="G14" s="6" t="s">
        <v>732</v>
      </c>
      <c r="H14" s="3" t="s">
        <v>752</v>
      </c>
      <c r="I14" s="3" t="s">
        <v>717</v>
      </c>
      <c r="J14" s="6" t="s">
        <v>744</v>
      </c>
      <c r="K14" s="6" t="s">
        <v>766</v>
      </c>
      <c r="L14" s="7" t="s">
        <v>720</v>
      </c>
      <c r="M14" s="7"/>
      <c r="N14" s="7"/>
      <c r="O14" s="7"/>
      <c r="P14" s="7" t="s">
        <v>720</v>
      </c>
      <c r="Q14" s="8">
        <f>COUNTIF(L14:P14,"Y")</f>
        <v>2</v>
      </c>
    </row>
    <row r="15" spans="1:17" ht="27.6" x14ac:dyDescent="0.3">
      <c r="A15" s="1" t="s">
        <v>845</v>
      </c>
      <c r="B15" s="3">
        <v>12</v>
      </c>
      <c r="C15" s="3" t="s">
        <v>767</v>
      </c>
      <c r="D15" s="5" t="s">
        <v>768</v>
      </c>
      <c r="E15" s="3" t="s">
        <v>769</v>
      </c>
      <c r="F15" s="3" t="s">
        <v>714</v>
      </c>
      <c r="G15" s="6" t="s">
        <v>732</v>
      </c>
      <c r="H15" s="3" t="s">
        <v>770</v>
      </c>
      <c r="I15" s="3" t="s">
        <v>717</v>
      </c>
      <c r="J15" s="6" t="s">
        <v>718</v>
      </c>
      <c r="K15" s="6" t="s">
        <v>771</v>
      </c>
      <c r="L15" s="7" t="s">
        <v>720</v>
      </c>
      <c r="M15" s="7"/>
      <c r="N15" s="7"/>
      <c r="O15" s="7"/>
      <c r="P15" s="7" t="s">
        <v>720</v>
      </c>
      <c r="Q15" s="8">
        <f>COUNTIF(L15:P15,"Y")</f>
        <v>2</v>
      </c>
    </row>
    <row r="16" spans="1:17" ht="27.6" x14ac:dyDescent="0.3">
      <c r="A16" s="1" t="s">
        <v>845</v>
      </c>
      <c r="B16" s="3">
        <v>13</v>
      </c>
      <c r="C16" s="3" t="s">
        <v>772</v>
      </c>
      <c r="D16" s="5" t="s">
        <v>773</v>
      </c>
      <c r="E16" s="3" t="s">
        <v>769</v>
      </c>
      <c r="F16" s="3" t="s">
        <v>714</v>
      </c>
      <c r="G16" s="6" t="s">
        <v>732</v>
      </c>
      <c r="H16" s="3" t="s">
        <v>770</v>
      </c>
      <c r="I16" s="3" t="s">
        <v>717</v>
      </c>
      <c r="J16" s="6" t="s">
        <v>718</v>
      </c>
      <c r="K16" s="6" t="s">
        <v>771</v>
      </c>
      <c r="L16" s="7" t="s">
        <v>720</v>
      </c>
      <c r="M16" s="7"/>
      <c r="N16" s="7"/>
      <c r="O16" s="7"/>
      <c r="P16" s="7" t="s">
        <v>720</v>
      </c>
      <c r="Q16" s="8">
        <f>COUNTIF(L16:P16,"Y")</f>
        <v>2</v>
      </c>
    </row>
  </sheetData>
  <autoFilter ref="A1:Q1" xr:uid="{00000000-0001-0000-0400-000000000000}">
    <sortState xmlns:xlrd2="http://schemas.microsoft.com/office/spreadsheetml/2017/richdata2" ref="A2:Q16">
      <sortCondition descending="1" ref="A1"/>
    </sortState>
  </autoFilter>
  <hyperlinks>
    <hyperlink ref="D10" r:id="rId1" xr:uid="{00000000-0004-0000-0400-000000000000}"/>
    <hyperlink ref="D2" r:id="rId2" xr:uid="{00000000-0004-0000-0400-000001000000}"/>
    <hyperlink ref="D3" r:id="rId3" xr:uid="{00000000-0004-0000-0400-000002000000}"/>
    <hyperlink ref="D4" r:id="rId4" xr:uid="{00000000-0004-0000-0400-000003000000}"/>
    <hyperlink ref="D11" r:id="rId5" xr:uid="{00000000-0004-0000-0400-000004000000}"/>
    <hyperlink ref="D12" r:id="rId6" xr:uid="{00000000-0004-0000-0400-000005000000}"/>
    <hyperlink ref="D5" r:id="rId7" xr:uid="{00000000-0004-0000-0400-000006000000}"/>
    <hyperlink ref="D6" r:id="rId8" xr:uid="{00000000-0004-0000-0400-000007000000}"/>
    <hyperlink ref="D13" r:id="rId9" xr:uid="{00000000-0004-0000-0400-000008000000}"/>
    <hyperlink ref="D7" r:id="rId10" xr:uid="{00000000-0004-0000-0400-000009000000}"/>
    <hyperlink ref="D14" r:id="rId11" xr:uid="{00000000-0004-0000-0400-00000A000000}"/>
    <hyperlink ref="D15" r:id="rId12" xr:uid="{00000000-0004-0000-0400-00000B000000}"/>
    <hyperlink ref="D16" r:id="rId13" xr:uid="{00000000-0004-0000-0400-00000C000000}"/>
    <hyperlink ref="D8" r:id="rId14" xr:uid="{00000000-0004-0000-0400-00000D000000}"/>
    <hyperlink ref="D9" r:id="rId15" xr:uid="{00000000-0004-0000-0400-00000E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0"/>
  <sheetViews>
    <sheetView zoomScaleNormal="100" workbookViewId="0">
      <pane xSplit="3" ySplit="1" topLeftCell="I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8.6640625" style="10"/>
    <col min="2" max="2" width="5" style="10" customWidth="1"/>
    <col min="3" max="3" width="22" style="10" customWidth="1"/>
    <col min="4" max="4" width="30" style="10" customWidth="1"/>
    <col min="5" max="5" width="24" style="10" customWidth="1"/>
    <col min="6" max="6" width="18" style="10" customWidth="1"/>
    <col min="7" max="7" width="30" style="10" customWidth="1"/>
    <col min="8" max="8" width="9" style="10" customWidth="1"/>
    <col min="9" max="9" width="13" style="10" customWidth="1"/>
    <col min="10" max="10" width="32" style="10" customWidth="1"/>
    <col min="11" max="11" width="42" style="10" customWidth="1"/>
    <col min="12" max="16" width="13" style="10" customWidth="1"/>
    <col min="17" max="17" width="12" style="10" customWidth="1"/>
    <col min="18" max="16384" width="8.6640625" style="10"/>
  </cols>
  <sheetData>
    <row r="1" spans="1:17" ht="30" customHeight="1" x14ac:dyDescent="0.3">
      <c r="A1" s="2" t="s">
        <v>844</v>
      </c>
      <c r="B1" s="9" t="s">
        <v>700</v>
      </c>
      <c r="C1" s="9" t="s">
        <v>701</v>
      </c>
      <c r="D1" s="9" t="s">
        <v>702</v>
      </c>
      <c r="E1" s="9" t="s">
        <v>703</v>
      </c>
      <c r="F1" s="9" t="s">
        <v>704</v>
      </c>
      <c r="G1" s="9" t="s">
        <v>705</v>
      </c>
      <c r="H1" s="9" t="s">
        <v>706</v>
      </c>
      <c r="I1" s="9" t="s">
        <v>707</v>
      </c>
      <c r="J1" s="9" t="s">
        <v>708</v>
      </c>
      <c r="K1" s="9" t="s">
        <v>709</v>
      </c>
      <c r="L1" s="9" t="s">
        <v>218</v>
      </c>
      <c r="M1" s="9" t="s">
        <v>277</v>
      </c>
      <c r="N1" s="9" t="s">
        <v>364</v>
      </c>
      <c r="O1" s="9" t="s">
        <v>414</v>
      </c>
      <c r="P1" s="9" t="s">
        <v>438</v>
      </c>
      <c r="Q1" s="9" t="s">
        <v>710</v>
      </c>
    </row>
    <row r="2" spans="1:17" ht="27.6" x14ac:dyDescent="0.3">
      <c r="A2" s="10" t="s">
        <v>720</v>
      </c>
      <c r="B2" s="11">
        <v>2</v>
      </c>
      <c r="C2" s="11" t="s">
        <v>721</v>
      </c>
      <c r="D2" s="12" t="s">
        <v>722</v>
      </c>
      <c r="E2" s="11" t="s">
        <v>723</v>
      </c>
      <c r="F2" s="11" t="s">
        <v>724</v>
      </c>
      <c r="G2" s="13" t="s">
        <v>725</v>
      </c>
      <c r="H2" s="11" t="s">
        <v>716</v>
      </c>
      <c r="I2" s="11" t="s">
        <v>726</v>
      </c>
      <c r="J2" s="13" t="s">
        <v>727</v>
      </c>
      <c r="K2" s="13" t="s">
        <v>789</v>
      </c>
      <c r="L2" s="14" t="s">
        <v>720</v>
      </c>
      <c r="M2" s="14" t="s">
        <v>720</v>
      </c>
      <c r="N2" s="14" t="s">
        <v>720</v>
      </c>
      <c r="O2" s="14" t="s">
        <v>720</v>
      </c>
      <c r="P2" s="14" t="s">
        <v>720</v>
      </c>
      <c r="Q2" s="15">
        <f>COUNTIF(L2:P2,"Y")</f>
        <v>5</v>
      </c>
    </row>
    <row r="3" spans="1:17" ht="27.6" x14ac:dyDescent="0.3">
      <c r="A3" s="10" t="s">
        <v>720</v>
      </c>
      <c r="B3" s="11">
        <v>3</v>
      </c>
      <c r="C3" s="11" t="s">
        <v>729</v>
      </c>
      <c r="D3" s="12" t="s">
        <v>730</v>
      </c>
      <c r="E3" s="11" t="s">
        <v>731</v>
      </c>
      <c r="F3" s="11" t="s">
        <v>790</v>
      </c>
      <c r="G3" s="13" t="s">
        <v>732</v>
      </c>
      <c r="H3" s="11" t="s">
        <v>716</v>
      </c>
      <c r="I3" s="11" t="s">
        <v>726</v>
      </c>
      <c r="J3" s="13" t="s">
        <v>733</v>
      </c>
      <c r="K3" s="13" t="s">
        <v>791</v>
      </c>
      <c r="L3" s="14" t="s">
        <v>720</v>
      </c>
      <c r="M3" s="14" t="s">
        <v>720</v>
      </c>
      <c r="N3" s="14" t="s">
        <v>720</v>
      </c>
      <c r="O3" s="14" t="s">
        <v>720</v>
      </c>
      <c r="P3" s="14" t="s">
        <v>720</v>
      </c>
      <c r="Q3" s="15">
        <f>COUNTIF(L3:P3,"Y")</f>
        <v>5</v>
      </c>
    </row>
    <row r="4" spans="1:17" ht="27.6" x14ac:dyDescent="0.3">
      <c r="A4" s="10" t="s">
        <v>720</v>
      </c>
      <c r="B4" s="11">
        <v>4</v>
      </c>
      <c r="C4" s="11" t="s">
        <v>735</v>
      </c>
      <c r="D4" s="12" t="s">
        <v>736</v>
      </c>
      <c r="E4" s="11" t="s">
        <v>737</v>
      </c>
      <c r="F4" s="11" t="s">
        <v>724</v>
      </c>
      <c r="G4" s="13" t="s">
        <v>725</v>
      </c>
      <c r="H4" s="11" t="s">
        <v>716</v>
      </c>
      <c r="I4" s="11" t="s">
        <v>726</v>
      </c>
      <c r="J4" s="13" t="s">
        <v>718</v>
      </c>
      <c r="K4" s="13" t="s">
        <v>792</v>
      </c>
      <c r="L4" s="14" t="s">
        <v>720</v>
      </c>
      <c r="M4" s="14" t="s">
        <v>720</v>
      </c>
      <c r="N4" s="14" t="s">
        <v>720</v>
      </c>
      <c r="O4" s="14" t="s">
        <v>720</v>
      </c>
      <c r="P4" s="14" t="s">
        <v>720</v>
      </c>
      <c r="Q4" s="15">
        <f>COUNTIF(L4:P4,"Y")</f>
        <v>5</v>
      </c>
    </row>
    <row r="5" spans="1:17" ht="27.6" x14ac:dyDescent="0.3">
      <c r="A5" s="10" t="s">
        <v>720</v>
      </c>
      <c r="B5" s="11">
        <v>18</v>
      </c>
      <c r="C5" s="11" t="s">
        <v>774</v>
      </c>
      <c r="D5" s="12" t="s">
        <v>775</v>
      </c>
      <c r="E5" s="11" t="s">
        <v>723</v>
      </c>
      <c r="F5" s="11" t="s">
        <v>776</v>
      </c>
      <c r="G5" s="13" t="s">
        <v>725</v>
      </c>
      <c r="H5" s="11" t="s">
        <v>770</v>
      </c>
      <c r="I5" s="11" t="s">
        <v>717</v>
      </c>
      <c r="J5" s="13" t="s">
        <v>777</v>
      </c>
      <c r="K5" s="13" t="s">
        <v>818</v>
      </c>
      <c r="L5" s="14" t="s">
        <v>720</v>
      </c>
      <c r="M5" s="14" t="s">
        <v>720</v>
      </c>
      <c r="N5" s="14" t="s">
        <v>720</v>
      </c>
      <c r="O5" s="14" t="s">
        <v>720</v>
      </c>
      <c r="P5" s="14" t="s">
        <v>720</v>
      </c>
      <c r="Q5" s="15">
        <f>COUNTIF(L5:P5,"Y")</f>
        <v>5</v>
      </c>
    </row>
    <row r="6" spans="1:17" x14ac:dyDescent="0.3">
      <c r="A6" s="10" t="s">
        <v>720</v>
      </c>
      <c r="B6" s="11">
        <v>19</v>
      </c>
      <c r="C6" s="11" t="s">
        <v>779</v>
      </c>
      <c r="D6" s="12" t="s">
        <v>780</v>
      </c>
      <c r="E6" s="11" t="s">
        <v>781</v>
      </c>
      <c r="F6" s="11" t="s">
        <v>782</v>
      </c>
      <c r="G6" s="13" t="s">
        <v>783</v>
      </c>
      <c r="H6" s="11" t="s">
        <v>770</v>
      </c>
      <c r="I6" s="11" t="s">
        <v>717</v>
      </c>
      <c r="J6" s="13" t="s">
        <v>784</v>
      </c>
      <c r="K6" s="13" t="s">
        <v>819</v>
      </c>
      <c r="L6" s="14" t="s">
        <v>720</v>
      </c>
      <c r="M6" s="14" t="s">
        <v>720</v>
      </c>
      <c r="N6" s="14" t="s">
        <v>720</v>
      </c>
      <c r="O6" s="14" t="s">
        <v>720</v>
      </c>
      <c r="P6" s="14" t="s">
        <v>720</v>
      </c>
      <c r="Q6" s="15">
        <f>COUNTIF(L6:P6,"Y")</f>
        <v>5</v>
      </c>
    </row>
    <row r="7" spans="1:17" ht="27.6" x14ac:dyDescent="0.3">
      <c r="A7" s="10" t="s">
        <v>720</v>
      </c>
      <c r="B7" s="11">
        <v>5</v>
      </c>
      <c r="C7" s="11" t="s">
        <v>793</v>
      </c>
      <c r="D7" s="12" t="s">
        <v>794</v>
      </c>
      <c r="E7" s="11" t="s">
        <v>731</v>
      </c>
      <c r="F7" s="11" t="s">
        <v>714</v>
      </c>
      <c r="G7" s="13" t="s">
        <v>732</v>
      </c>
      <c r="H7" s="11" t="s">
        <v>716</v>
      </c>
      <c r="I7" s="11" t="s">
        <v>743</v>
      </c>
      <c r="J7" s="13" t="s">
        <v>744</v>
      </c>
      <c r="K7" s="13" t="s">
        <v>795</v>
      </c>
      <c r="L7" s="14" t="s">
        <v>720</v>
      </c>
      <c r="M7" s="14"/>
      <c r="N7" s="14" t="s">
        <v>720</v>
      </c>
      <c r="O7" s="14" t="s">
        <v>720</v>
      </c>
      <c r="P7" s="14" t="s">
        <v>720</v>
      </c>
      <c r="Q7" s="15">
        <f>COUNTIF(L7:P7,"Y")</f>
        <v>4</v>
      </c>
    </row>
    <row r="8" spans="1:17" ht="27.6" x14ac:dyDescent="0.3">
      <c r="A8" s="10" t="s">
        <v>720</v>
      </c>
      <c r="B8" s="11">
        <v>6</v>
      </c>
      <c r="C8" s="11" t="s">
        <v>739</v>
      </c>
      <c r="D8" s="12" t="s">
        <v>740</v>
      </c>
      <c r="E8" s="11" t="s">
        <v>741</v>
      </c>
      <c r="F8" s="11" t="s">
        <v>742</v>
      </c>
      <c r="G8" s="13" t="s">
        <v>732</v>
      </c>
      <c r="H8" s="11" t="s">
        <v>716</v>
      </c>
      <c r="I8" s="11" t="s">
        <v>743</v>
      </c>
      <c r="J8" s="13" t="s">
        <v>744</v>
      </c>
      <c r="K8" s="13" t="s">
        <v>796</v>
      </c>
      <c r="L8" s="14"/>
      <c r="M8" s="14" t="s">
        <v>720</v>
      </c>
      <c r="N8" s="14" t="s">
        <v>720</v>
      </c>
      <c r="O8" s="14" t="s">
        <v>720</v>
      </c>
      <c r="P8" s="14" t="s">
        <v>720</v>
      </c>
      <c r="Q8" s="15">
        <f>COUNTIF(L8:P8,"Y")</f>
        <v>4</v>
      </c>
    </row>
    <row r="9" spans="1:17" ht="27.6" x14ac:dyDescent="0.3">
      <c r="A9" s="10" t="s">
        <v>720</v>
      </c>
      <c r="B9" s="11">
        <v>10</v>
      </c>
      <c r="C9" s="11" t="s">
        <v>764</v>
      </c>
      <c r="D9" s="12" t="s">
        <v>765</v>
      </c>
      <c r="E9" s="11" t="s">
        <v>741</v>
      </c>
      <c r="F9" s="11" t="s">
        <v>742</v>
      </c>
      <c r="G9" s="13" t="s">
        <v>732</v>
      </c>
      <c r="H9" s="11" t="s">
        <v>752</v>
      </c>
      <c r="I9" s="11" t="s">
        <v>717</v>
      </c>
      <c r="J9" s="13" t="s">
        <v>744</v>
      </c>
      <c r="K9" s="13" t="s">
        <v>766</v>
      </c>
      <c r="L9" s="14"/>
      <c r="M9" s="14" t="s">
        <v>720</v>
      </c>
      <c r="N9" s="14" t="s">
        <v>720</v>
      </c>
      <c r="O9" s="14" t="s">
        <v>720</v>
      </c>
      <c r="P9" s="14" t="s">
        <v>720</v>
      </c>
      <c r="Q9" s="15">
        <f>COUNTIF(L9:P9,"Y")</f>
        <v>4</v>
      </c>
    </row>
    <row r="10" spans="1:17" ht="27.6" x14ac:dyDescent="0.3">
      <c r="A10" s="10" t="s">
        <v>845</v>
      </c>
      <c r="B10" s="11">
        <v>1</v>
      </c>
      <c r="C10" s="11" t="s">
        <v>786</v>
      </c>
      <c r="D10" s="12" t="s">
        <v>787</v>
      </c>
      <c r="E10" s="11" t="s">
        <v>713</v>
      </c>
      <c r="F10" s="11" t="s">
        <v>714</v>
      </c>
      <c r="G10" s="13" t="s">
        <v>715</v>
      </c>
      <c r="H10" s="11" t="s">
        <v>716</v>
      </c>
      <c r="I10" s="11" t="s">
        <v>717</v>
      </c>
      <c r="J10" s="13" t="s">
        <v>718</v>
      </c>
      <c r="K10" s="13" t="s">
        <v>788</v>
      </c>
      <c r="L10" s="14" t="s">
        <v>720</v>
      </c>
      <c r="M10" s="14" t="s">
        <v>720</v>
      </c>
      <c r="N10" s="14" t="s">
        <v>720</v>
      </c>
      <c r="O10" s="14" t="s">
        <v>720</v>
      </c>
      <c r="P10" s="14" t="s">
        <v>720</v>
      </c>
      <c r="Q10" s="15">
        <f>COUNTIF(L10:P10,"Y")</f>
        <v>5</v>
      </c>
    </row>
    <row r="11" spans="1:17" ht="27.6" x14ac:dyDescent="0.3">
      <c r="A11" s="10" t="s">
        <v>845</v>
      </c>
      <c r="B11" s="11">
        <v>12</v>
      </c>
      <c r="C11" s="11" t="s">
        <v>760</v>
      </c>
      <c r="D11" s="12" t="s">
        <v>761</v>
      </c>
      <c r="E11" s="11" t="s">
        <v>762</v>
      </c>
      <c r="F11" s="11" t="s">
        <v>714</v>
      </c>
      <c r="G11" s="13" t="s">
        <v>732</v>
      </c>
      <c r="H11" s="11" t="s">
        <v>752</v>
      </c>
      <c r="I11" s="11" t="s">
        <v>717</v>
      </c>
      <c r="J11" s="13" t="s">
        <v>718</v>
      </c>
      <c r="K11" s="13" t="s">
        <v>804</v>
      </c>
      <c r="L11" s="14" t="s">
        <v>720</v>
      </c>
      <c r="M11" s="14" t="s">
        <v>720</v>
      </c>
      <c r="N11" s="14" t="s">
        <v>720</v>
      </c>
      <c r="O11" s="14" t="s">
        <v>720</v>
      </c>
      <c r="P11" s="14" t="s">
        <v>720</v>
      </c>
      <c r="Q11" s="15">
        <f>COUNTIF(L11:P11,"Y")</f>
        <v>5</v>
      </c>
    </row>
    <row r="12" spans="1:17" ht="27.6" x14ac:dyDescent="0.3">
      <c r="A12" s="10" t="s">
        <v>845</v>
      </c>
      <c r="B12" s="11">
        <v>7</v>
      </c>
      <c r="C12" s="11" t="s">
        <v>746</v>
      </c>
      <c r="D12" s="12" t="s">
        <v>747</v>
      </c>
      <c r="E12" s="11" t="s">
        <v>748</v>
      </c>
      <c r="F12" s="11" t="s">
        <v>714</v>
      </c>
      <c r="G12" s="13" t="s">
        <v>732</v>
      </c>
      <c r="H12" s="11" t="s">
        <v>716</v>
      </c>
      <c r="I12" s="11" t="s">
        <v>743</v>
      </c>
      <c r="J12" s="13" t="s">
        <v>718</v>
      </c>
      <c r="K12" s="13" t="s">
        <v>797</v>
      </c>
      <c r="L12" s="14"/>
      <c r="M12" s="14" t="s">
        <v>720</v>
      </c>
      <c r="N12" s="14" t="s">
        <v>720</v>
      </c>
      <c r="O12" s="14" t="s">
        <v>720</v>
      </c>
      <c r="P12" s="14" t="s">
        <v>720</v>
      </c>
      <c r="Q12" s="15">
        <f>COUNTIF(L12:P12,"Y")</f>
        <v>4</v>
      </c>
    </row>
    <row r="13" spans="1:17" ht="27.6" x14ac:dyDescent="0.3">
      <c r="A13" s="10" t="s">
        <v>845</v>
      </c>
      <c r="B13" s="11">
        <v>9</v>
      </c>
      <c r="C13" s="11" t="s">
        <v>754</v>
      </c>
      <c r="D13" s="12" t="s">
        <v>755</v>
      </c>
      <c r="E13" s="11" t="s">
        <v>756</v>
      </c>
      <c r="F13" s="11" t="s">
        <v>714</v>
      </c>
      <c r="G13" s="13" t="s">
        <v>732</v>
      </c>
      <c r="H13" s="11" t="s">
        <v>752</v>
      </c>
      <c r="I13" s="11" t="s">
        <v>743</v>
      </c>
      <c r="J13" s="13" t="s">
        <v>718</v>
      </c>
      <c r="K13" s="13" t="s">
        <v>799</v>
      </c>
      <c r="L13" s="14" t="s">
        <v>720</v>
      </c>
      <c r="M13" s="14" t="s">
        <v>720</v>
      </c>
      <c r="N13" s="14" t="s">
        <v>720</v>
      </c>
      <c r="O13" s="14"/>
      <c r="P13" s="14" t="s">
        <v>720</v>
      </c>
      <c r="Q13" s="15">
        <f>COUNTIF(L13:P13,"Y")</f>
        <v>4</v>
      </c>
    </row>
    <row r="14" spans="1:17" ht="27.6" x14ac:dyDescent="0.3">
      <c r="A14" s="10" t="s">
        <v>845</v>
      </c>
      <c r="B14" s="11">
        <v>11</v>
      </c>
      <c r="C14" s="11" t="s">
        <v>800</v>
      </c>
      <c r="D14" s="12" t="s">
        <v>801</v>
      </c>
      <c r="E14" s="11" t="s">
        <v>802</v>
      </c>
      <c r="F14" s="11" t="s">
        <v>714</v>
      </c>
      <c r="G14" s="13" t="s">
        <v>732</v>
      </c>
      <c r="H14" s="11" t="s">
        <v>752</v>
      </c>
      <c r="I14" s="11" t="s">
        <v>717</v>
      </c>
      <c r="J14" s="13" t="s">
        <v>718</v>
      </c>
      <c r="K14" s="13" t="s">
        <v>803</v>
      </c>
      <c r="L14" s="14"/>
      <c r="M14" s="14" t="s">
        <v>720</v>
      </c>
      <c r="N14" s="14" t="s">
        <v>720</v>
      </c>
      <c r="O14" s="14" t="s">
        <v>720</v>
      </c>
      <c r="P14" s="14" t="s">
        <v>720</v>
      </c>
      <c r="Q14" s="15">
        <f>COUNTIF(L14:P14,"Y")</f>
        <v>4</v>
      </c>
    </row>
    <row r="15" spans="1:17" ht="27.6" x14ac:dyDescent="0.3">
      <c r="A15" s="10" t="s">
        <v>845</v>
      </c>
      <c r="B15" s="11">
        <v>8</v>
      </c>
      <c r="C15" s="11" t="s">
        <v>758</v>
      </c>
      <c r="D15" s="12" t="s">
        <v>759</v>
      </c>
      <c r="E15" s="11" t="s">
        <v>748</v>
      </c>
      <c r="F15" s="11" t="s">
        <v>714</v>
      </c>
      <c r="G15" s="13" t="s">
        <v>732</v>
      </c>
      <c r="H15" s="11" t="s">
        <v>752</v>
      </c>
      <c r="I15" s="11" t="s">
        <v>743</v>
      </c>
      <c r="J15" s="13" t="s">
        <v>718</v>
      </c>
      <c r="K15" s="13" t="s">
        <v>798</v>
      </c>
      <c r="L15" s="14"/>
      <c r="M15" s="14" t="s">
        <v>720</v>
      </c>
      <c r="N15" s="14" t="s">
        <v>720</v>
      </c>
      <c r="O15" s="14"/>
      <c r="P15" s="14" t="s">
        <v>720</v>
      </c>
      <c r="Q15" s="15">
        <f>COUNTIF(L15:P15,"Y")</f>
        <v>3</v>
      </c>
    </row>
    <row r="16" spans="1:17" ht="27.6" x14ac:dyDescent="0.3">
      <c r="A16" s="10" t="s">
        <v>845</v>
      </c>
      <c r="B16" s="11">
        <v>13</v>
      </c>
      <c r="C16" s="11" t="s">
        <v>767</v>
      </c>
      <c r="D16" s="12" t="s">
        <v>768</v>
      </c>
      <c r="E16" s="11" t="s">
        <v>769</v>
      </c>
      <c r="F16" s="11" t="s">
        <v>714</v>
      </c>
      <c r="G16" s="13" t="s">
        <v>732</v>
      </c>
      <c r="H16" s="11" t="s">
        <v>770</v>
      </c>
      <c r="I16" s="11" t="s">
        <v>717</v>
      </c>
      <c r="J16" s="13" t="s">
        <v>718</v>
      </c>
      <c r="K16" s="13" t="s">
        <v>805</v>
      </c>
      <c r="L16" s="14"/>
      <c r="M16" s="14" t="s">
        <v>720</v>
      </c>
      <c r="N16" s="14" t="s">
        <v>720</v>
      </c>
      <c r="O16" s="14"/>
      <c r="P16" s="14" t="s">
        <v>720</v>
      </c>
      <c r="Q16" s="15">
        <f>COUNTIF(L16:P16,"Y")</f>
        <v>3</v>
      </c>
    </row>
    <row r="17" spans="1:17" ht="27.6" x14ac:dyDescent="0.3">
      <c r="A17" s="10" t="s">
        <v>845</v>
      </c>
      <c r="B17" s="11">
        <v>14</v>
      </c>
      <c r="C17" s="11" t="s">
        <v>806</v>
      </c>
      <c r="D17" s="12" t="s">
        <v>807</v>
      </c>
      <c r="E17" s="11" t="s">
        <v>808</v>
      </c>
      <c r="F17" s="11" t="s">
        <v>714</v>
      </c>
      <c r="G17" s="13" t="s">
        <v>809</v>
      </c>
      <c r="H17" s="11" t="s">
        <v>752</v>
      </c>
      <c r="I17" s="11" t="s">
        <v>717</v>
      </c>
      <c r="J17" s="13" t="s">
        <v>744</v>
      </c>
      <c r="K17" s="13" t="s">
        <v>810</v>
      </c>
      <c r="L17" s="14" t="s">
        <v>720</v>
      </c>
      <c r="M17" s="14"/>
      <c r="N17" s="14" t="s">
        <v>720</v>
      </c>
      <c r="O17" s="14" t="s">
        <v>720</v>
      </c>
      <c r="P17" s="14"/>
      <c r="Q17" s="15">
        <f>COUNTIF(L17:P17,"Y")</f>
        <v>3</v>
      </c>
    </row>
    <row r="18" spans="1:17" ht="27.6" x14ac:dyDescent="0.3">
      <c r="A18" s="10" t="s">
        <v>845</v>
      </c>
      <c r="B18" s="11">
        <v>15</v>
      </c>
      <c r="C18" s="11" t="s">
        <v>811</v>
      </c>
      <c r="D18" s="12" t="s">
        <v>812</v>
      </c>
      <c r="E18" s="11" t="s">
        <v>808</v>
      </c>
      <c r="F18" s="11" t="s">
        <v>714</v>
      </c>
      <c r="G18" s="13" t="s">
        <v>809</v>
      </c>
      <c r="H18" s="11" t="s">
        <v>752</v>
      </c>
      <c r="I18" s="11" t="s">
        <v>717</v>
      </c>
      <c r="J18" s="13" t="s">
        <v>744</v>
      </c>
      <c r="K18" s="13" t="s">
        <v>813</v>
      </c>
      <c r="L18" s="14" t="s">
        <v>720</v>
      </c>
      <c r="M18" s="14"/>
      <c r="N18" s="14" t="s">
        <v>720</v>
      </c>
      <c r="O18" s="14" t="s">
        <v>720</v>
      </c>
      <c r="P18" s="14"/>
      <c r="Q18" s="15">
        <f>COUNTIF(L18:P18,"Y")</f>
        <v>3</v>
      </c>
    </row>
    <row r="19" spans="1:17" ht="27.6" x14ac:dyDescent="0.3">
      <c r="A19" s="10" t="s">
        <v>845</v>
      </c>
      <c r="B19" s="11">
        <v>16</v>
      </c>
      <c r="C19" s="11" t="s">
        <v>814</v>
      </c>
      <c r="D19" s="12" t="s">
        <v>815</v>
      </c>
      <c r="E19" s="11" t="s">
        <v>808</v>
      </c>
      <c r="F19" s="11" t="s">
        <v>714</v>
      </c>
      <c r="G19" s="13" t="s">
        <v>809</v>
      </c>
      <c r="H19" s="11" t="s">
        <v>752</v>
      </c>
      <c r="I19" s="11" t="s">
        <v>717</v>
      </c>
      <c r="J19" s="13" t="s">
        <v>744</v>
      </c>
      <c r="K19" s="13" t="s">
        <v>813</v>
      </c>
      <c r="L19" s="14" t="s">
        <v>720</v>
      </c>
      <c r="M19" s="14"/>
      <c r="N19" s="14" t="s">
        <v>720</v>
      </c>
      <c r="O19" s="14" t="s">
        <v>720</v>
      </c>
      <c r="P19" s="14"/>
      <c r="Q19" s="15">
        <f>COUNTIF(L19:P19,"Y")</f>
        <v>3</v>
      </c>
    </row>
    <row r="20" spans="1:17" ht="27.6" x14ac:dyDescent="0.3">
      <c r="A20" s="10" t="s">
        <v>845</v>
      </c>
      <c r="B20" s="11">
        <v>17</v>
      </c>
      <c r="C20" s="11" t="s">
        <v>750</v>
      </c>
      <c r="D20" s="12" t="s">
        <v>751</v>
      </c>
      <c r="E20" s="11" t="s">
        <v>723</v>
      </c>
      <c r="F20" s="11" t="s">
        <v>816</v>
      </c>
      <c r="G20" s="13" t="s">
        <v>725</v>
      </c>
      <c r="H20" s="11" t="s">
        <v>770</v>
      </c>
      <c r="I20" s="11" t="s">
        <v>717</v>
      </c>
      <c r="J20" s="13" t="s">
        <v>718</v>
      </c>
      <c r="K20" s="13" t="s">
        <v>817</v>
      </c>
      <c r="L20" s="14"/>
      <c r="M20" s="14" t="s">
        <v>720</v>
      </c>
      <c r="N20" s="14" t="s">
        <v>720</v>
      </c>
      <c r="O20" s="14"/>
      <c r="P20" s="14" t="s">
        <v>720</v>
      </c>
      <c r="Q20" s="15">
        <f>COUNTIF(L20:P20,"Y")</f>
        <v>3</v>
      </c>
    </row>
  </sheetData>
  <autoFilter ref="A1:Q1" xr:uid="{00000000-0001-0000-0500-000000000000}">
    <sortState xmlns:xlrd2="http://schemas.microsoft.com/office/spreadsheetml/2017/richdata2" ref="A2:Q20">
      <sortCondition descending="1" ref="A1"/>
    </sortState>
  </autoFilter>
  <hyperlinks>
    <hyperlink ref="D10" r:id="rId1" xr:uid="{00000000-0004-0000-0500-000000000000}"/>
    <hyperlink ref="D2" r:id="rId2" xr:uid="{00000000-0004-0000-0500-000001000000}"/>
    <hyperlink ref="D3" r:id="rId3" xr:uid="{00000000-0004-0000-0500-000002000000}"/>
    <hyperlink ref="D4" r:id="rId4" xr:uid="{00000000-0004-0000-0500-000003000000}"/>
    <hyperlink ref="D7" r:id="rId5" xr:uid="{00000000-0004-0000-0500-000004000000}"/>
    <hyperlink ref="D8" r:id="rId6" xr:uid="{00000000-0004-0000-0500-000005000000}"/>
    <hyperlink ref="D12" r:id="rId7" xr:uid="{00000000-0004-0000-0500-000006000000}"/>
    <hyperlink ref="D15" r:id="rId8" xr:uid="{00000000-0004-0000-0500-000007000000}"/>
    <hyperlink ref="D13" r:id="rId9" xr:uid="{00000000-0004-0000-0500-000008000000}"/>
    <hyperlink ref="D9" r:id="rId10" xr:uid="{00000000-0004-0000-0500-000009000000}"/>
    <hyperlink ref="D14" r:id="rId11" xr:uid="{00000000-0004-0000-0500-00000A000000}"/>
    <hyperlink ref="D11" r:id="rId12" xr:uid="{00000000-0004-0000-0500-00000B000000}"/>
    <hyperlink ref="D16" r:id="rId13" xr:uid="{00000000-0004-0000-0500-00000C000000}"/>
    <hyperlink ref="D17" r:id="rId14" xr:uid="{00000000-0004-0000-0500-00000D000000}"/>
    <hyperlink ref="D18" r:id="rId15" xr:uid="{00000000-0004-0000-0500-00000E000000}"/>
    <hyperlink ref="D19" r:id="rId16" xr:uid="{00000000-0004-0000-0500-00000F000000}"/>
    <hyperlink ref="D20" r:id="rId17" xr:uid="{00000000-0004-0000-0500-000010000000}"/>
    <hyperlink ref="D5" r:id="rId18" xr:uid="{00000000-0004-0000-0500-000011000000}"/>
    <hyperlink ref="D6" r:id="rId19" xr:uid="{00000000-0004-0000-0500-000012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1"/>
  <sheetViews>
    <sheetView zoomScaleNormal="100" workbookViewId="0">
      <pane xSplit="3" ySplit="1" topLeftCell="J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8.6640625" style="1"/>
    <col min="2" max="2" width="5" style="1" customWidth="1"/>
    <col min="3" max="3" width="22" style="1" customWidth="1"/>
    <col min="4" max="4" width="30" style="1" customWidth="1"/>
    <col min="5" max="5" width="24" style="1" customWidth="1"/>
    <col min="6" max="6" width="18" style="1" customWidth="1"/>
    <col min="7" max="7" width="30" style="1" customWidth="1"/>
    <col min="8" max="8" width="9" style="1" customWidth="1"/>
    <col min="9" max="9" width="13" style="1" customWidth="1"/>
    <col min="10" max="10" width="32" style="1" customWidth="1"/>
    <col min="11" max="11" width="42" style="1" customWidth="1"/>
    <col min="12" max="17" width="13" style="1" customWidth="1"/>
    <col min="18" max="18" width="12" style="1" customWidth="1"/>
    <col min="19" max="16384" width="8.6640625" style="1"/>
  </cols>
  <sheetData>
    <row r="1" spans="1:18" ht="30" customHeight="1" x14ac:dyDescent="0.3">
      <c r="A1" s="2" t="s">
        <v>844</v>
      </c>
      <c r="B1" s="2" t="s">
        <v>700</v>
      </c>
      <c r="C1" s="2" t="s">
        <v>701</v>
      </c>
      <c r="D1" s="2" t="s">
        <v>702</v>
      </c>
      <c r="E1" s="2" t="s">
        <v>703</v>
      </c>
      <c r="F1" s="2" t="s">
        <v>704</v>
      </c>
      <c r="G1" s="2" t="s">
        <v>705</v>
      </c>
      <c r="H1" s="2" t="s">
        <v>706</v>
      </c>
      <c r="I1" s="2" t="s">
        <v>707</v>
      </c>
      <c r="J1" s="2" t="s">
        <v>708</v>
      </c>
      <c r="K1" s="2" t="s">
        <v>709</v>
      </c>
      <c r="L1" s="2" t="s">
        <v>473</v>
      </c>
      <c r="M1" s="2" t="s">
        <v>566</v>
      </c>
      <c r="N1" s="2" t="s">
        <v>596</v>
      </c>
      <c r="O1" s="2" t="s">
        <v>614</v>
      </c>
      <c r="P1" s="2" t="s">
        <v>647</v>
      </c>
      <c r="Q1" s="2" t="s">
        <v>685</v>
      </c>
      <c r="R1" s="2" t="s">
        <v>710</v>
      </c>
    </row>
    <row r="2" spans="1:18" ht="27.6" x14ac:dyDescent="0.3">
      <c r="A2" s="1" t="s">
        <v>845</v>
      </c>
      <c r="B2" s="3">
        <v>1</v>
      </c>
      <c r="C2" s="3" t="s">
        <v>820</v>
      </c>
      <c r="D2" s="5" t="s">
        <v>821</v>
      </c>
      <c r="E2" s="3" t="s">
        <v>713</v>
      </c>
      <c r="F2" s="3" t="s">
        <v>714</v>
      </c>
      <c r="G2" s="6" t="s">
        <v>715</v>
      </c>
      <c r="H2" s="3" t="s">
        <v>716</v>
      </c>
      <c r="I2" s="3" t="s">
        <v>717</v>
      </c>
      <c r="J2" s="6" t="s">
        <v>718</v>
      </c>
      <c r="K2" s="6" t="s">
        <v>822</v>
      </c>
      <c r="L2" s="7" t="s">
        <v>720</v>
      </c>
      <c r="M2" s="7" t="s">
        <v>720</v>
      </c>
      <c r="N2" s="7" t="s">
        <v>720</v>
      </c>
      <c r="O2" s="7" t="s">
        <v>720</v>
      </c>
      <c r="P2" s="7" t="s">
        <v>720</v>
      </c>
      <c r="Q2" s="7" t="s">
        <v>720</v>
      </c>
      <c r="R2" s="8">
        <f>COUNTIF(L2:Q2,"Y")</f>
        <v>6</v>
      </c>
    </row>
    <row r="3" spans="1:18" ht="27.6" x14ac:dyDescent="0.3">
      <c r="A3" s="1" t="s">
        <v>845</v>
      </c>
      <c r="B3" s="3">
        <v>6</v>
      </c>
      <c r="C3" s="3" t="s">
        <v>739</v>
      </c>
      <c r="D3" s="5" t="s">
        <v>740</v>
      </c>
      <c r="E3" s="3" t="s">
        <v>741</v>
      </c>
      <c r="F3" s="3" t="s">
        <v>742</v>
      </c>
      <c r="G3" s="6" t="s">
        <v>732</v>
      </c>
      <c r="H3" s="3" t="s">
        <v>716</v>
      </c>
      <c r="I3" s="3" t="s">
        <v>743</v>
      </c>
      <c r="J3" s="6" t="s">
        <v>744</v>
      </c>
      <c r="K3" s="6" t="s">
        <v>827</v>
      </c>
      <c r="L3" s="7"/>
      <c r="M3" s="7" t="s">
        <v>720</v>
      </c>
      <c r="N3" s="7" t="s">
        <v>720</v>
      </c>
      <c r="O3" s="7" t="s">
        <v>720</v>
      </c>
      <c r="P3" s="7" t="s">
        <v>720</v>
      </c>
      <c r="Q3" s="7" t="s">
        <v>720</v>
      </c>
      <c r="R3" s="8">
        <f>COUNTIF(L3:Q3,"Y")</f>
        <v>5</v>
      </c>
    </row>
    <row r="4" spans="1:18" ht="27.6" x14ac:dyDescent="0.3">
      <c r="A4" s="1" t="s">
        <v>845</v>
      </c>
      <c r="B4" s="3">
        <v>5</v>
      </c>
      <c r="C4" s="3" t="s">
        <v>793</v>
      </c>
      <c r="D4" s="5" t="s">
        <v>794</v>
      </c>
      <c r="E4" s="3" t="s">
        <v>731</v>
      </c>
      <c r="F4" s="3" t="s">
        <v>714</v>
      </c>
      <c r="G4" s="6" t="s">
        <v>732</v>
      </c>
      <c r="H4" s="3" t="s">
        <v>716</v>
      </c>
      <c r="I4" s="3" t="s">
        <v>743</v>
      </c>
      <c r="J4" s="6" t="s">
        <v>744</v>
      </c>
      <c r="K4" s="6" t="s">
        <v>826</v>
      </c>
      <c r="L4" s="7" t="s">
        <v>720</v>
      </c>
      <c r="M4" s="7" t="s">
        <v>720</v>
      </c>
      <c r="N4" s="7"/>
      <c r="O4" s="7" t="s">
        <v>720</v>
      </c>
      <c r="P4" s="7" t="s">
        <v>720</v>
      </c>
      <c r="Q4" s="7"/>
      <c r="R4" s="8">
        <f>COUNTIF(L4:Q4,"Y")</f>
        <v>4</v>
      </c>
    </row>
    <row r="5" spans="1:18" ht="27.6" x14ac:dyDescent="0.3">
      <c r="A5" s="1" t="s">
        <v>845</v>
      </c>
      <c r="B5" s="3">
        <v>7</v>
      </c>
      <c r="C5" s="3" t="s">
        <v>764</v>
      </c>
      <c r="D5" s="5" t="s">
        <v>765</v>
      </c>
      <c r="E5" s="3" t="s">
        <v>741</v>
      </c>
      <c r="F5" s="3" t="s">
        <v>742</v>
      </c>
      <c r="G5" s="6" t="s">
        <v>732</v>
      </c>
      <c r="H5" s="3" t="s">
        <v>752</v>
      </c>
      <c r="I5" s="3" t="s">
        <v>717</v>
      </c>
      <c r="J5" s="6" t="s">
        <v>744</v>
      </c>
      <c r="K5" s="6" t="s">
        <v>766</v>
      </c>
      <c r="L5" s="7"/>
      <c r="M5" s="7" t="s">
        <v>720</v>
      </c>
      <c r="N5" s="7" t="s">
        <v>720</v>
      </c>
      <c r="O5" s="7"/>
      <c r="P5" s="7" t="s">
        <v>720</v>
      </c>
      <c r="Q5" s="7" t="s">
        <v>720</v>
      </c>
      <c r="R5" s="8">
        <f>COUNTIF(L5:Q5,"Y")</f>
        <v>4</v>
      </c>
    </row>
    <row r="6" spans="1:18" ht="27.6" x14ac:dyDescent="0.3">
      <c r="A6" s="1" t="s">
        <v>845</v>
      </c>
      <c r="B6" s="3">
        <v>12</v>
      </c>
      <c r="C6" s="3" t="s">
        <v>754</v>
      </c>
      <c r="D6" s="5" t="s">
        <v>755</v>
      </c>
      <c r="E6" s="3" t="s">
        <v>756</v>
      </c>
      <c r="F6" s="3" t="s">
        <v>714</v>
      </c>
      <c r="G6" s="6" t="s">
        <v>732</v>
      </c>
      <c r="H6" s="3" t="s">
        <v>752</v>
      </c>
      <c r="I6" s="3" t="s">
        <v>743</v>
      </c>
      <c r="J6" s="6" t="s">
        <v>718</v>
      </c>
      <c r="K6" s="6" t="s">
        <v>837</v>
      </c>
      <c r="L6" s="7"/>
      <c r="M6" s="7" t="s">
        <v>720</v>
      </c>
      <c r="N6" s="7" t="s">
        <v>720</v>
      </c>
      <c r="O6" s="7"/>
      <c r="P6" s="7"/>
      <c r="Q6" s="7" t="s">
        <v>720</v>
      </c>
      <c r="R6" s="8">
        <f>COUNTIF(L6:Q6,"Y")</f>
        <v>3</v>
      </c>
    </row>
    <row r="7" spans="1:18" x14ac:dyDescent="0.3">
      <c r="A7" s="1" t="s">
        <v>845</v>
      </c>
      <c r="B7" s="3">
        <v>15</v>
      </c>
      <c r="C7" s="3" t="s">
        <v>806</v>
      </c>
      <c r="D7" s="5" t="s">
        <v>807</v>
      </c>
      <c r="E7" s="3" t="s">
        <v>808</v>
      </c>
      <c r="F7" s="3" t="s">
        <v>714</v>
      </c>
      <c r="G7" s="6" t="s">
        <v>809</v>
      </c>
      <c r="H7" s="3" t="s">
        <v>752</v>
      </c>
      <c r="I7" s="3" t="s">
        <v>717</v>
      </c>
      <c r="J7" s="6" t="s">
        <v>744</v>
      </c>
      <c r="K7" s="6" t="s">
        <v>843</v>
      </c>
      <c r="L7" s="7" t="s">
        <v>720</v>
      </c>
      <c r="M7" s="7" t="s">
        <v>720</v>
      </c>
      <c r="N7" s="7"/>
      <c r="O7" s="7" t="s">
        <v>720</v>
      </c>
      <c r="P7" s="7"/>
      <c r="Q7" s="7"/>
      <c r="R7" s="8">
        <f>COUNTIF(L7:Q7,"Y")</f>
        <v>3</v>
      </c>
    </row>
    <row r="8" spans="1:18" x14ac:dyDescent="0.3">
      <c r="A8" s="1" t="s">
        <v>845</v>
      </c>
      <c r="B8" s="3">
        <v>16</v>
      </c>
      <c r="C8" s="3" t="s">
        <v>811</v>
      </c>
      <c r="D8" s="5" t="s">
        <v>812</v>
      </c>
      <c r="E8" s="3" t="s">
        <v>808</v>
      </c>
      <c r="F8" s="3" t="s">
        <v>714</v>
      </c>
      <c r="G8" s="6" t="s">
        <v>809</v>
      </c>
      <c r="H8" s="3" t="s">
        <v>752</v>
      </c>
      <c r="I8" s="3" t="s">
        <v>717</v>
      </c>
      <c r="J8" s="6" t="s">
        <v>744</v>
      </c>
      <c r="K8" s="6" t="s">
        <v>813</v>
      </c>
      <c r="L8" s="7" t="s">
        <v>720</v>
      </c>
      <c r="M8" s="7" t="s">
        <v>720</v>
      </c>
      <c r="N8" s="7"/>
      <c r="O8" s="7" t="s">
        <v>720</v>
      </c>
      <c r="P8" s="7"/>
      <c r="Q8" s="7"/>
      <c r="R8" s="8">
        <f>COUNTIF(L8:Q8,"Y")</f>
        <v>3</v>
      </c>
    </row>
    <row r="9" spans="1:18" x14ac:dyDescent="0.3">
      <c r="A9" s="1" t="s">
        <v>845</v>
      </c>
      <c r="B9" s="3">
        <v>17</v>
      </c>
      <c r="C9" s="3" t="s">
        <v>814</v>
      </c>
      <c r="D9" s="5" t="s">
        <v>815</v>
      </c>
      <c r="E9" s="3" t="s">
        <v>808</v>
      </c>
      <c r="F9" s="3" t="s">
        <v>714</v>
      </c>
      <c r="G9" s="6" t="s">
        <v>809</v>
      </c>
      <c r="H9" s="3" t="s">
        <v>752</v>
      </c>
      <c r="I9" s="3" t="s">
        <v>717</v>
      </c>
      <c r="J9" s="6" t="s">
        <v>744</v>
      </c>
      <c r="K9" s="6" t="s">
        <v>813</v>
      </c>
      <c r="L9" s="7" t="s">
        <v>720</v>
      </c>
      <c r="M9" s="7" t="s">
        <v>720</v>
      </c>
      <c r="N9" s="7"/>
      <c r="O9" s="7" t="s">
        <v>720</v>
      </c>
      <c r="P9" s="7"/>
      <c r="Q9" s="7"/>
      <c r="R9" s="8">
        <f>COUNTIF(L9:Q9,"Y")</f>
        <v>3</v>
      </c>
    </row>
    <row r="10" spans="1:18" ht="27.6" x14ac:dyDescent="0.3">
      <c r="A10" s="1" t="s">
        <v>845</v>
      </c>
      <c r="B10" s="3">
        <v>18</v>
      </c>
      <c r="C10" s="3" t="s">
        <v>767</v>
      </c>
      <c r="D10" s="5" t="s">
        <v>768</v>
      </c>
      <c r="E10" s="3" t="s">
        <v>769</v>
      </c>
      <c r="F10" s="3" t="s">
        <v>714</v>
      </c>
      <c r="G10" s="6" t="s">
        <v>732</v>
      </c>
      <c r="H10" s="3" t="s">
        <v>770</v>
      </c>
      <c r="I10" s="3" t="s">
        <v>717</v>
      </c>
      <c r="J10" s="6" t="s">
        <v>718</v>
      </c>
      <c r="K10" s="6" t="s">
        <v>837</v>
      </c>
      <c r="L10" s="7"/>
      <c r="M10" s="7" t="s">
        <v>720</v>
      </c>
      <c r="N10" s="7" t="s">
        <v>720</v>
      </c>
      <c r="O10" s="7"/>
      <c r="P10" s="7"/>
      <c r="Q10" s="7" t="s">
        <v>720</v>
      </c>
      <c r="R10" s="8">
        <f>COUNTIF(L10:Q10,"Y")</f>
        <v>3</v>
      </c>
    </row>
    <row r="11" spans="1:18" ht="27.6" x14ac:dyDescent="0.3">
      <c r="A11" s="1" t="s">
        <v>845</v>
      </c>
      <c r="B11" s="3">
        <v>9</v>
      </c>
      <c r="C11" s="3" t="s">
        <v>829</v>
      </c>
      <c r="D11" s="5" t="s">
        <v>830</v>
      </c>
      <c r="E11" s="3" t="s">
        <v>831</v>
      </c>
      <c r="F11" s="3" t="s">
        <v>714</v>
      </c>
      <c r="G11" s="6" t="s">
        <v>732</v>
      </c>
      <c r="H11" s="3" t="s">
        <v>716</v>
      </c>
      <c r="I11" s="3" t="s">
        <v>743</v>
      </c>
      <c r="J11" s="6" t="s">
        <v>718</v>
      </c>
      <c r="K11" s="6" t="s">
        <v>832</v>
      </c>
      <c r="L11" s="7"/>
      <c r="M11" s="7"/>
      <c r="N11" s="7"/>
      <c r="O11" s="7"/>
      <c r="P11" s="7" t="s">
        <v>720</v>
      </c>
      <c r="Q11" s="7"/>
      <c r="R11" s="8">
        <f>COUNTIF(L11:Q11,"Y")</f>
        <v>1</v>
      </c>
    </row>
    <row r="12" spans="1:18" ht="27.6" x14ac:dyDescent="0.3">
      <c r="A12" s="1" t="s">
        <v>845</v>
      </c>
      <c r="B12" s="3">
        <v>14</v>
      </c>
      <c r="C12" s="3" t="s">
        <v>839</v>
      </c>
      <c r="D12" s="5" t="s">
        <v>840</v>
      </c>
      <c r="E12" s="3" t="s">
        <v>841</v>
      </c>
      <c r="F12" s="3" t="s">
        <v>714</v>
      </c>
      <c r="G12" s="6" t="s">
        <v>732</v>
      </c>
      <c r="H12" s="3" t="s">
        <v>770</v>
      </c>
      <c r="I12" s="3" t="s">
        <v>717</v>
      </c>
      <c r="J12" s="6" t="s">
        <v>744</v>
      </c>
      <c r="K12" s="6" t="s">
        <v>842</v>
      </c>
      <c r="L12" s="7"/>
      <c r="M12" s="7"/>
      <c r="N12" s="7"/>
      <c r="O12" s="7"/>
      <c r="P12" s="7" t="s">
        <v>720</v>
      </c>
      <c r="Q12" s="7"/>
      <c r="R12" s="8">
        <f>COUNTIF(L12:Q12,"Y")</f>
        <v>1</v>
      </c>
    </row>
    <row r="13" spans="1:18" ht="27.6" x14ac:dyDescent="0.3">
      <c r="A13" s="1" t="s">
        <v>720</v>
      </c>
      <c r="B13" s="3">
        <v>2</v>
      </c>
      <c r="C13" s="3" t="s">
        <v>721</v>
      </c>
      <c r="D13" s="5" t="s">
        <v>722</v>
      </c>
      <c r="E13" s="3" t="s">
        <v>723</v>
      </c>
      <c r="F13" s="3" t="s">
        <v>724</v>
      </c>
      <c r="G13" s="6" t="s">
        <v>725</v>
      </c>
      <c r="H13" s="3" t="s">
        <v>716</v>
      </c>
      <c r="I13" s="3" t="s">
        <v>726</v>
      </c>
      <c r="J13" s="6" t="s">
        <v>727</v>
      </c>
      <c r="K13" s="6" t="s">
        <v>823</v>
      </c>
      <c r="L13" s="7" t="s">
        <v>720</v>
      </c>
      <c r="M13" s="7" t="s">
        <v>720</v>
      </c>
      <c r="N13" s="7" t="s">
        <v>720</v>
      </c>
      <c r="O13" s="7" t="s">
        <v>720</v>
      </c>
      <c r="P13" s="7" t="s">
        <v>720</v>
      </c>
      <c r="Q13" s="7" t="s">
        <v>720</v>
      </c>
      <c r="R13" s="8">
        <f>COUNTIF(L13:Q13,"Y")</f>
        <v>6</v>
      </c>
    </row>
    <row r="14" spans="1:18" ht="27.6" x14ac:dyDescent="0.3">
      <c r="A14" s="1" t="s">
        <v>720</v>
      </c>
      <c r="B14" s="3">
        <v>3</v>
      </c>
      <c r="C14" s="3" t="s">
        <v>729</v>
      </c>
      <c r="D14" s="5" t="s">
        <v>730</v>
      </c>
      <c r="E14" s="3" t="s">
        <v>731</v>
      </c>
      <c r="F14" s="3" t="s">
        <v>714</v>
      </c>
      <c r="G14" s="6" t="s">
        <v>732</v>
      </c>
      <c r="H14" s="3" t="s">
        <v>716</v>
      </c>
      <c r="I14" s="3" t="s">
        <v>726</v>
      </c>
      <c r="J14" s="6" t="s">
        <v>733</v>
      </c>
      <c r="K14" s="6" t="s">
        <v>824</v>
      </c>
      <c r="L14" s="7" t="s">
        <v>720</v>
      </c>
      <c r="M14" s="7" t="s">
        <v>720</v>
      </c>
      <c r="N14" s="7" t="s">
        <v>720</v>
      </c>
      <c r="O14" s="7" t="s">
        <v>720</v>
      </c>
      <c r="P14" s="7" t="s">
        <v>720</v>
      </c>
      <c r="Q14" s="7" t="s">
        <v>720</v>
      </c>
      <c r="R14" s="8">
        <f>COUNTIF(L14:Q14,"Y")</f>
        <v>6</v>
      </c>
    </row>
    <row r="15" spans="1:18" x14ac:dyDescent="0.3">
      <c r="A15" s="1" t="s">
        <v>720</v>
      </c>
      <c r="B15" s="3">
        <v>4</v>
      </c>
      <c r="C15" s="3" t="s">
        <v>735</v>
      </c>
      <c r="D15" s="5" t="s">
        <v>736</v>
      </c>
      <c r="E15" s="3" t="s">
        <v>737</v>
      </c>
      <c r="F15" s="3" t="s">
        <v>724</v>
      </c>
      <c r="G15" s="6" t="s">
        <v>725</v>
      </c>
      <c r="H15" s="3" t="s">
        <v>716</v>
      </c>
      <c r="I15" s="3" t="s">
        <v>726</v>
      </c>
      <c r="J15" s="6" t="s">
        <v>718</v>
      </c>
      <c r="K15" s="6" t="s">
        <v>825</v>
      </c>
      <c r="L15" s="7" t="s">
        <v>720</v>
      </c>
      <c r="M15" s="7" t="s">
        <v>720</v>
      </c>
      <c r="N15" s="7" t="s">
        <v>720</v>
      </c>
      <c r="O15" s="7" t="s">
        <v>720</v>
      </c>
      <c r="P15" s="7" t="s">
        <v>720</v>
      </c>
      <c r="Q15" s="7" t="s">
        <v>720</v>
      </c>
      <c r="R15" s="8">
        <f>COUNTIF(L15:Q15,"Y")</f>
        <v>6</v>
      </c>
    </row>
    <row r="16" spans="1:18" x14ac:dyDescent="0.3">
      <c r="A16" s="1" t="s">
        <v>720</v>
      </c>
      <c r="B16" s="3">
        <v>19</v>
      </c>
      <c r="C16" s="3" t="s">
        <v>774</v>
      </c>
      <c r="D16" s="5" t="s">
        <v>775</v>
      </c>
      <c r="E16" s="3" t="s">
        <v>723</v>
      </c>
      <c r="F16" s="3" t="s">
        <v>776</v>
      </c>
      <c r="G16" s="6" t="s">
        <v>725</v>
      </c>
      <c r="H16" s="3" t="s">
        <v>770</v>
      </c>
      <c r="I16" s="3" t="s">
        <v>717</v>
      </c>
      <c r="J16" s="6" t="s">
        <v>777</v>
      </c>
      <c r="K16" s="6" t="s">
        <v>778</v>
      </c>
      <c r="L16" s="7" t="s">
        <v>720</v>
      </c>
      <c r="M16" s="7" t="s">
        <v>720</v>
      </c>
      <c r="N16" s="7" t="s">
        <v>720</v>
      </c>
      <c r="O16" s="7" t="s">
        <v>720</v>
      </c>
      <c r="P16" s="7" t="s">
        <v>720</v>
      </c>
      <c r="Q16" s="7" t="s">
        <v>720</v>
      </c>
      <c r="R16" s="8">
        <f>COUNTIF(L16:Q16,"Y")</f>
        <v>6</v>
      </c>
    </row>
    <row r="17" spans="1:18" x14ac:dyDescent="0.3">
      <c r="A17" s="1" t="s">
        <v>720</v>
      </c>
      <c r="B17" s="3">
        <v>20</v>
      </c>
      <c r="C17" s="3" t="s">
        <v>779</v>
      </c>
      <c r="D17" s="5" t="s">
        <v>780</v>
      </c>
      <c r="E17" s="3" t="s">
        <v>781</v>
      </c>
      <c r="F17" s="3" t="s">
        <v>782</v>
      </c>
      <c r="G17" s="6" t="s">
        <v>783</v>
      </c>
      <c r="H17" s="3" t="s">
        <v>770</v>
      </c>
      <c r="I17" s="3" t="s">
        <v>717</v>
      </c>
      <c r="J17" s="6" t="s">
        <v>784</v>
      </c>
      <c r="K17" s="6" t="s">
        <v>785</v>
      </c>
      <c r="L17" s="7" t="s">
        <v>720</v>
      </c>
      <c r="M17" s="7" t="s">
        <v>720</v>
      </c>
      <c r="N17" s="7" t="s">
        <v>720</v>
      </c>
      <c r="O17" s="7" t="s">
        <v>720</v>
      </c>
      <c r="P17" s="7" t="s">
        <v>720</v>
      </c>
      <c r="Q17" s="7" t="s">
        <v>720</v>
      </c>
      <c r="R17" s="8">
        <f>COUNTIF(L17:Q17,"Y")</f>
        <v>6</v>
      </c>
    </row>
    <row r="18" spans="1:18" ht="27.6" x14ac:dyDescent="0.3">
      <c r="A18" s="1" t="s">
        <v>720</v>
      </c>
      <c r="B18" s="3">
        <v>8</v>
      </c>
      <c r="C18" s="3" t="s">
        <v>746</v>
      </c>
      <c r="D18" s="5" t="s">
        <v>747</v>
      </c>
      <c r="E18" s="3" t="s">
        <v>748</v>
      </c>
      <c r="F18" s="3" t="s">
        <v>714</v>
      </c>
      <c r="G18" s="6" t="s">
        <v>732</v>
      </c>
      <c r="H18" s="3" t="s">
        <v>752</v>
      </c>
      <c r="I18" s="3" t="s">
        <v>743</v>
      </c>
      <c r="J18" s="6" t="s">
        <v>718</v>
      </c>
      <c r="K18" s="6" t="s">
        <v>828</v>
      </c>
      <c r="L18" s="7" t="s">
        <v>720</v>
      </c>
      <c r="M18" s="7" t="s">
        <v>720</v>
      </c>
      <c r="N18" s="7" t="s">
        <v>720</v>
      </c>
      <c r="O18" s="7"/>
      <c r="P18" s="7" t="s">
        <v>720</v>
      </c>
      <c r="Q18" s="7" t="s">
        <v>720</v>
      </c>
      <c r="R18" s="8">
        <f>COUNTIF(L18:Q18,"Y")</f>
        <v>5</v>
      </c>
    </row>
    <row r="19" spans="1:18" ht="27.6" x14ac:dyDescent="0.3">
      <c r="A19" s="1" t="s">
        <v>720</v>
      </c>
      <c r="B19" s="3">
        <v>10</v>
      </c>
      <c r="C19" s="3" t="s">
        <v>760</v>
      </c>
      <c r="D19" s="5" t="s">
        <v>761</v>
      </c>
      <c r="E19" s="3" t="s">
        <v>762</v>
      </c>
      <c r="F19" s="3" t="s">
        <v>714</v>
      </c>
      <c r="G19" s="6" t="s">
        <v>732</v>
      </c>
      <c r="H19" s="3" t="s">
        <v>752</v>
      </c>
      <c r="I19" s="3" t="s">
        <v>717</v>
      </c>
      <c r="J19" s="6" t="s">
        <v>718</v>
      </c>
      <c r="K19" s="6" t="s">
        <v>833</v>
      </c>
      <c r="L19" s="7" t="s">
        <v>720</v>
      </c>
      <c r="M19" s="7" t="s">
        <v>720</v>
      </c>
      <c r="N19" s="7"/>
      <c r="O19" s="7"/>
      <c r="P19" s="7" t="s">
        <v>720</v>
      </c>
      <c r="Q19" s="7" t="s">
        <v>720</v>
      </c>
      <c r="R19" s="8">
        <f>COUNTIF(L19:Q19,"Y")</f>
        <v>4</v>
      </c>
    </row>
    <row r="20" spans="1:18" x14ac:dyDescent="0.3">
      <c r="A20" s="1" t="s">
        <v>720</v>
      </c>
      <c r="B20" s="3">
        <v>13</v>
      </c>
      <c r="C20" s="3" t="s">
        <v>750</v>
      </c>
      <c r="D20" s="5" t="s">
        <v>751</v>
      </c>
      <c r="E20" s="3" t="s">
        <v>723</v>
      </c>
      <c r="F20" s="3" t="s">
        <v>724</v>
      </c>
      <c r="G20" s="6" t="s">
        <v>725</v>
      </c>
      <c r="H20" s="3" t="s">
        <v>752</v>
      </c>
      <c r="I20" s="3" t="s">
        <v>743</v>
      </c>
      <c r="J20" s="6" t="s">
        <v>718</v>
      </c>
      <c r="K20" s="6" t="s">
        <v>838</v>
      </c>
      <c r="L20" s="7" t="s">
        <v>720</v>
      </c>
      <c r="M20" s="7" t="s">
        <v>720</v>
      </c>
      <c r="N20" s="7" t="s">
        <v>720</v>
      </c>
      <c r="O20" s="7"/>
      <c r="P20" s="7"/>
      <c r="Q20" s="7" t="s">
        <v>720</v>
      </c>
      <c r="R20" s="8">
        <f>COUNTIF(L20:Q20,"Y")</f>
        <v>4</v>
      </c>
    </row>
    <row r="21" spans="1:18" ht="27.6" x14ac:dyDescent="0.3">
      <c r="A21" s="1" t="s">
        <v>720</v>
      </c>
      <c r="B21" s="3">
        <v>11</v>
      </c>
      <c r="C21" s="3" t="s">
        <v>834</v>
      </c>
      <c r="D21" s="5" t="s">
        <v>835</v>
      </c>
      <c r="E21" s="3" t="s">
        <v>762</v>
      </c>
      <c r="F21" s="3" t="s">
        <v>714</v>
      </c>
      <c r="G21" s="6" t="s">
        <v>732</v>
      </c>
      <c r="H21" s="3" t="s">
        <v>752</v>
      </c>
      <c r="I21" s="3" t="s">
        <v>717</v>
      </c>
      <c r="J21" s="6" t="s">
        <v>718</v>
      </c>
      <c r="K21" s="6" t="s">
        <v>836</v>
      </c>
      <c r="L21" s="7"/>
      <c r="M21" s="7" t="s">
        <v>720</v>
      </c>
      <c r="N21" s="7" t="s">
        <v>720</v>
      </c>
      <c r="O21" s="7"/>
      <c r="P21" s="7" t="s">
        <v>720</v>
      </c>
      <c r="Q21" s="7"/>
      <c r="R21" s="8">
        <f>COUNTIF(L21:Q21,"Y")</f>
        <v>3</v>
      </c>
    </row>
  </sheetData>
  <autoFilter ref="A1:R1" xr:uid="{00000000-0001-0000-0600-000000000000}">
    <sortState xmlns:xlrd2="http://schemas.microsoft.com/office/spreadsheetml/2017/richdata2" ref="A2:R21">
      <sortCondition ref="A1"/>
    </sortState>
  </autoFilter>
  <hyperlinks>
    <hyperlink ref="D2" r:id="rId1" xr:uid="{00000000-0004-0000-0600-000000000000}"/>
    <hyperlink ref="D13" r:id="rId2" xr:uid="{00000000-0004-0000-0600-000001000000}"/>
    <hyperlink ref="D14" r:id="rId3" xr:uid="{00000000-0004-0000-0600-000002000000}"/>
    <hyperlink ref="D15" r:id="rId4" xr:uid="{00000000-0004-0000-0600-000003000000}"/>
    <hyperlink ref="D4" r:id="rId5" xr:uid="{00000000-0004-0000-0600-000004000000}"/>
    <hyperlink ref="D3" r:id="rId6" xr:uid="{00000000-0004-0000-0600-000005000000}"/>
    <hyperlink ref="D5" r:id="rId7" xr:uid="{00000000-0004-0000-0600-000006000000}"/>
    <hyperlink ref="D18" r:id="rId8" xr:uid="{00000000-0004-0000-0600-000007000000}"/>
    <hyperlink ref="D11" r:id="rId9" xr:uid="{00000000-0004-0000-0600-000008000000}"/>
    <hyperlink ref="D19" r:id="rId10" xr:uid="{00000000-0004-0000-0600-000009000000}"/>
    <hyperlink ref="D21" r:id="rId11" xr:uid="{00000000-0004-0000-0600-00000A000000}"/>
    <hyperlink ref="D6" r:id="rId12" xr:uid="{00000000-0004-0000-0600-00000B000000}"/>
    <hyperlink ref="D20" r:id="rId13" xr:uid="{00000000-0004-0000-0600-00000C000000}"/>
    <hyperlink ref="D12" r:id="rId14" xr:uid="{00000000-0004-0000-0600-00000D000000}"/>
    <hyperlink ref="D7" r:id="rId15" xr:uid="{00000000-0004-0000-0600-00000E000000}"/>
    <hyperlink ref="D8" r:id="rId16" xr:uid="{00000000-0004-0000-0600-00000F000000}"/>
    <hyperlink ref="D9" r:id="rId17" xr:uid="{00000000-0004-0000-0600-000010000000}"/>
    <hyperlink ref="D10" r:id="rId18" xr:uid="{00000000-0004-0000-0600-000011000000}"/>
    <hyperlink ref="D16" r:id="rId19" xr:uid="{00000000-0004-0000-0600-000012000000}"/>
    <hyperlink ref="D17" r:id="rId20" xr:uid="{00000000-0004-0000-0600-000013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LG Product Summary</vt:lpstr>
      <vt:lpstr>Apple Product Summary</vt:lpstr>
      <vt:lpstr>Samsung Product Summary</vt:lpstr>
      <vt:lpstr>LG Sources</vt:lpstr>
      <vt:lpstr>Apple Sources</vt:lpstr>
      <vt:lpstr>Samsung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Fenil Dholakiya</cp:lastModifiedBy>
  <cp:revision>0</cp:revision>
  <dcterms:created xsi:type="dcterms:W3CDTF">2026-09-28T04:35:43Z</dcterms:created>
  <dcterms:modified xsi:type="dcterms:W3CDTF">2026-09-28T05:45:02Z</dcterms:modified>
  <dc:language>en-US</dc:language>
</cp:coreProperties>
</file>